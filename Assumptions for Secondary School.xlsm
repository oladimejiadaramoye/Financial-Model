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8554a966adf4462/Documents/EXTRA FILES/Desktop/Desktop/Ola 2/Ola tasks/"/>
    </mc:Choice>
  </mc:AlternateContent>
  <xr:revisionPtr revIDLastSave="223" documentId="8_{13B6C5E7-954D-4CC3-A16D-6085E6A4DFBC}" xr6:coauthVersionLast="47" xr6:coauthVersionMax="47" xr10:uidLastSave="{7040826A-9665-446D-B9C3-D4B660A17E34}"/>
  <bookViews>
    <workbookView minimized="1" xWindow="16920" yWindow="225" windowWidth="15180" windowHeight="11295" activeTab="8" xr2:uid="{FBA73369-E31E-48DC-AE07-BC0A6C037BF8}"/>
  </bookViews>
  <sheets>
    <sheet name="Input" sheetId="1" r:id="rId1"/>
    <sheet name="Revenue" sheetId="2" r:id="rId2"/>
    <sheet name="Salaries" sheetId="6" r:id="rId3"/>
    <sheet name="Direct Costs" sheetId="8" r:id="rId4"/>
    <sheet name="Opex" sheetId="7" r:id="rId5"/>
    <sheet name="Capex" sheetId="10" r:id="rId6"/>
    <sheet name="Fin Statements" sheetId="11" r:id="rId7"/>
    <sheet name="Workings" sheetId="12" r:id="rId8"/>
    <sheet name="Data" sheetId="14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4" l="1"/>
  <c r="E9" i="14"/>
  <c r="E8" i="14"/>
  <c r="E7" i="14"/>
  <c r="E6" i="14"/>
  <c r="E5" i="14"/>
  <c r="E4" i="14"/>
  <c r="E3" i="14"/>
  <c r="E2" i="14"/>
  <c r="Q11" i="7"/>
  <c r="M12" i="7"/>
  <c r="P12" i="7" s="1"/>
  <c r="S12" i="7" s="1"/>
  <c r="V12" i="7" s="1"/>
  <c r="Y12" i="7" s="1"/>
  <c r="AB12" i="7" s="1"/>
  <c r="AE12" i="7" s="1"/>
  <c r="AH12" i="7" s="1"/>
  <c r="N12" i="7"/>
  <c r="O12" i="7"/>
  <c r="Q12" i="7"/>
  <c r="R12" i="7"/>
  <c r="T12" i="7"/>
  <c r="U12" i="7"/>
  <c r="W12" i="7"/>
  <c r="Z12" i="7" s="1"/>
  <c r="AC12" i="7" s="1"/>
  <c r="AF12" i="7" s="1"/>
  <c r="AI12" i="7" s="1"/>
  <c r="X12" i="7"/>
  <c r="AA12" i="7" s="1"/>
  <c r="AD12" i="7" s="1"/>
  <c r="AG12" i="7" s="1"/>
  <c r="AJ12" i="7" s="1"/>
  <c r="M13" i="7"/>
  <c r="P13" i="7" s="1"/>
  <c r="S13" i="7" s="1"/>
  <c r="V13" i="7" s="1"/>
  <c r="Y13" i="7" s="1"/>
  <c r="AB13" i="7" s="1"/>
  <c r="AE13" i="7" s="1"/>
  <c r="AH13" i="7" s="1"/>
  <c r="N13" i="7"/>
  <c r="O13" i="7"/>
  <c r="Q13" i="7"/>
  <c r="R13" i="7"/>
  <c r="T13" i="7"/>
  <c r="U13" i="7"/>
  <c r="W13" i="7"/>
  <c r="Z13" i="7" s="1"/>
  <c r="AC13" i="7" s="1"/>
  <c r="AF13" i="7" s="1"/>
  <c r="AI13" i="7" s="1"/>
  <c r="X13" i="7"/>
  <c r="AA13" i="7" s="1"/>
  <c r="AD13" i="7" s="1"/>
  <c r="AG13" i="7" s="1"/>
  <c r="AJ13" i="7" s="1"/>
  <c r="M14" i="7"/>
  <c r="P14" i="7" s="1"/>
  <c r="S14" i="7" s="1"/>
  <c r="V14" i="7" s="1"/>
  <c r="Y14" i="7" s="1"/>
  <c r="AB14" i="7" s="1"/>
  <c r="AE14" i="7" s="1"/>
  <c r="AH14" i="7" s="1"/>
  <c r="N14" i="7"/>
  <c r="O14" i="7"/>
  <c r="Q14" i="7"/>
  <c r="R14" i="7"/>
  <c r="T14" i="7"/>
  <c r="U14" i="7"/>
  <c r="W14" i="7"/>
  <c r="Z14" i="7" s="1"/>
  <c r="AC14" i="7" s="1"/>
  <c r="AF14" i="7" s="1"/>
  <c r="AI14" i="7" s="1"/>
  <c r="X14" i="7"/>
  <c r="AA14" i="7" s="1"/>
  <c r="AD14" i="7" s="1"/>
  <c r="AG14" i="7" s="1"/>
  <c r="AJ14" i="7" s="1"/>
  <c r="M15" i="7"/>
  <c r="P15" i="7" s="1"/>
  <c r="S15" i="7" s="1"/>
  <c r="V15" i="7" s="1"/>
  <c r="Y15" i="7" s="1"/>
  <c r="AB15" i="7" s="1"/>
  <c r="AE15" i="7" s="1"/>
  <c r="AH15" i="7" s="1"/>
  <c r="N15" i="7"/>
  <c r="O15" i="7"/>
  <c r="Q15" i="7"/>
  <c r="R15" i="7"/>
  <c r="T15" i="7"/>
  <c r="U15" i="7"/>
  <c r="W15" i="7"/>
  <c r="Z15" i="7" s="1"/>
  <c r="AC15" i="7" s="1"/>
  <c r="AF15" i="7" s="1"/>
  <c r="AI15" i="7" s="1"/>
  <c r="X15" i="7"/>
  <c r="AA15" i="7" s="1"/>
  <c r="AD15" i="7" s="1"/>
  <c r="AG15" i="7" s="1"/>
  <c r="AJ15" i="7" s="1"/>
  <c r="M16" i="7"/>
  <c r="P16" i="7" s="1"/>
  <c r="S16" i="7" s="1"/>
  <c r="V16" i="7" s="1"/>
  <c r="Y16" i="7" s="1"/>
  <c r="AB16" i="7" s="1"/>
  <c r="AE16" i="7" s="1"/>
  <c r="AH16" i="7" s="1"/>
  <c r="N16" i="7"/>
  <c r="O16" i="7"/>
  <c r="Q16" i="7"/>
  <c r="R16" i="7"/>
  <c r="T16" i="7"/>
  <c r="U16" i="7"/>
  <c r="W16" i="7"/>
  <c r="Z16" i="7" s="1"/>
  <c r="AC16" i="7" s="1"/>
  <c r="AF16" i="7" s="1"/>
  <c r="AI16" i="7" s="1"/>
  <c r="X16" i="7"/>
  <c r="AA16" i="7" s="1"/>
  <c r="AD16" i="7" s="1"/>
  <c r="AG16" i="7" s="1"/>
  <c r="AJ16" i="7" s="1"/>
  <c r="M17" i="7"/>
  <c r="P17" i="7" s="1"/>
  <c r="S17" i="7" s="1"/>
  <c r="V17" i="7" s="1"/>
  <c r="Y17" i="7" s="1"/>
  <c r="AB17" i="7" s="1"/>
  <c r="AE17" i="7" s="1"/>
  <c r="AH17" i="7" s="1"/>
  <c r="N17" i="7"/>
  <c r="O17" i="7"/>
  <c r="Q17" i="7"/>
  <c r="R17" i="7"/>
  <c r="T17" i="7"/>
  <c r="U17" i="7"/>
  <c r="W17" i="7"/>
  <c r="Z17" i="7" s="1"/>
  <c r="AC17" i="7" s="1"/>
  <c r="AF17" i="7" s="1"/>
  <c r="AI17" i="7" s="1"/>
  <c r="X17" i="7"/>
  <c r="AA17" i="7" s="1"/>
  <c r="AD17" i="7" s="1"/>
  <c r="AG17" i="7" s="1"/>
  <c r="AJ17" i="7" s="1"/>
  <c r="M18" i="7"/>
  <c r="P18" i="7" s="1"/>
  <c r="S18" i="7" s="1"/>
  <c r="V18" i="7" s="1"/>
  <c r="Y18" i="7" s="1"/>
  <c r="AB18" i="7" s="1"/>
  <c r="AE18" i="7" s="1"/>
  <c r="AH18" i="7" s="1"/>
  <c r="N18" i="7"/>
  <c r="O18" i="7"/>
  <c r="Q18" i="7"/>
  <c r="R18" i="7"/>
  <c r="T18" i="7"/>
  <c r="U18" i="7"/>
  <c r="W18" i="7"/>
  <c r="Z18" i="7" s="1"/>
  <c r="AC18" i="7" s="1"/>
  <c r="AF18" i="7" s="1"/>
  <c r="AI18" i="7" s="1"/>
  <c r="X18" i="7"/>
  <c r="AA18" i="7" s="1"/>
  <c r="AD18" i="7" s="1"/>
  <c r="AG18" i="7" s="1"/>
  <c r="AJ18" i="7" s="1"/>
  <c r="AJ11" i="7"/>
  <c r="N11" i="7"/>
  <c r="T11" i="7" s="1"/>
  <c r="W11" i="7" s="1"/>
  <c r="Z11" i="7" s="1"/>
  <c r="AC11" i="7" s="1"/>
  <c r="AF11" i="7" s="1"/>
  <c r="AI11" i="7" s="1"/>
  <c r="O11" i="7"/>
  <c r="R11" i="7" s="1"/>
  <c r="U11" i="7" s="1"/>
  <c r="X11" i="7" s="1"/>
  <c r="AA11" i="7" s="1"/>
  <c r="AD11" i="7" s="1"/>
  <c r="AG11" i="7" s="1"/>
  <c r="P11" i="7"/>
  <c r="S11" i="7"/>
  <c r="V11" i="7"/>
  <c r="Y11" i="7"/>
  <c r="AB11" i="7" s="1"/>
  <c r="AE11" i="7" s="1"/>
  <c r="AH11" i="7" s="1"/>
  <c r="M11" i="7"/>
  <c r="K13" i="7"/>
  <c r="L13" i="7"/>
  <c r="K14" i="7"/>
  <c r="L14" i="7"/>
  <c r="K15" i="7"/>
  <c r="L15" i="7"/>
  <c r="K16" i="7"/>
  <c r="L16" i="7"/>
  <c r="K17" i="7"/>
  <c r="L17" i="7"/>
  <c r="K18" i="7"/>
  <c r="L18" i="7"/>
  <c r="J18" i="7"/>
  <c r="J17" i="7"/>
  <c r="J16" i="7"/>
  <c r="J15" i="7"/>
  <c r="J14" i="7"/>
  <c r="J13" i="7"/>
  <c r="J11" i="7"/>
  <c r="K11" i="7"/>
  <c r="L11" i="7"/>
  <c r="K12" i="7"/>
  <c r="L12" i="7"/>
  <c r="J12" i="7"/>
  <c r="P8" i="6"/>
  <c r="S8" i="6" s="1"/>
  <c r="Q8" i="6"/>
  <c r="R8" i="6"/>
  <c r="T8" i="6"/>
  <c r="U8" i="6"/>
  <c r="X8" i="6" s="1"/>
  <c r="AA8" i="6" s="1"/>
  <c r="AD8" i="6" s="1"/>
  <c r="AG8" i="6" s="1"/>
  <c r="AJ8" i="6" s="1"/>
  <c r="V8" i="6"/>
  <c r="Y8" i="6" s="1"/>
  <c r="AB8" i="6" s="1"/>
  <c r="AE8" i="6" s="1"/>
  <c r="AH8" i="6" s="1"/>
  <c r="W8" i="6"/>
  <c r="Z8" i="6"/>
  <c r="AC8" i="6" s="1"/>
  <c r="AF8" i="6" s="1"/>
  <c r="AI8" i="6"/>
  <c r="P9" i="6"/>
  <c r="S9" i="6" s="1"/>
  <c r="V9" i="6" s="1"/>
  <c r="Y9" i="6" s="1"/>
  <c r="AB9" i="6" s="1"/>
  <c r="AE9" i="6" s="1"/>
  <c r="AH9" i="6" s="1"/>
  <c r="Q9" i="6"/>
  <c r="T9" i="6" s="1"/>
  <c r="W9" i="6" s="1"/>
  <c r="R9" i="6"/>
  <c r="U9" i="6" s="1"/>
  <c r="X9" i="6" s="1"/>
  <c r="AA9" i="6" s="1"/>
  <c r="Z9" i="6"/>
  <c r="AC9" i="6"/>
  <c r="AF9" i="6" s="1"/>
  <c r="AI9" i="6" s="1"/>
  <c r="AD9" i="6"/>
  <c r="AG9" i="6" s="1"/>
  <c r="AJ9" i="6" s="1"/>
  <c r="P10" i="6"/>
  <c r="S10" i="6" s="1"/>
  <c r="V10" i="6" s="1"/>
  <c r="Y10" i="6" s="1"/>
  <c r="Q10" i="6"/>
  <c r="T10" i="6" s="1"/>
  <c r="W10" i="6" s="1"/>
  <c r="Z10" i="6" s="1"/>
  <c r="AC10" i="6" s="1"/>
  <c r="AF10" i="6" s="1"/>
  <c r="AI10" i="6" s="1"/>
  <c r="R10" i="6"/>
  <c r="U10" i="6"/>
  <c r="X10" i="6" s="1"/>
  <c r="AA10" i="6" s="1"/>
  <c r="AD10" i="6" s="1"/>
  <c r="AG10" i="6" s="1"/>
  <c r="AJ10" i="6" s="1"/>
  <c r="AB10" i="6"/>
  <c r="AE10" i="6" s="1"/>
  <c r="AH10" i="6" s="1"/>
  <c r="P11" i="6"/>
  <c r="Q11" i="6"/>
  <c r="R11" i="6"/>
  <c r="U11" i="6" s="1"/>
  <c r="X11" i="6" s="1"/>
  <c r="AA11" i="6" s="1"/>
  <c r="AD11" i="6" s="1"/>
  <c r="AG11" i="6" s="1"/>
  <c r="AJ11" i="6" s="1"/>
  <c r="S11" i="6"/>
  <c r="V11" i="6" s="1"/>
  <c r="Y11" i="6" s="1"/>
  <c r="AB11" i="6" s="1"/>
  <c r="T11" i="6"/>
  <c r="W11" i="6" s="1"/>
  <c r="Z11" i="6" s="1"/>
  <c r="AC11" i="6" s="1"/>
  <c r="AF11" i="6" s="1"/>
  <c r="AI11" i="6" s="1"/>
  <c r="AE11" i="6"/>
  <c r="AH11" i="6" s="1"/>
  <c r="P12" i="6"/>
  <c r="S12" i="6" s="1"/>
  <c r="Q12" i="6"/>
  <c r="R12" i="6"/>
  <c r="T12" i="6"/>
  <c r="U12" i="6"/>
  <c r="X12" i="6" s="1"/>
  <c r="V12" i="6"/>
  <c r="Y12" i="6" s="1"/>
  <c r="AB12" i="6" s="1"/>
  <c r="AE12" i="6" s="1"/>
  <c r="W12" i="6"/>
  <c r="Z12" i="6"/>
  <c r="AC12" i="6" s="1"/>
  <c r="AF12" i="6" s="1"/>
  <c r="AI12" i="6" s="1"/>
  <c r="AA12" i="6"/>
  <c r="AD12" i="6" s="1"/>
  <c r="AG12" i="6" s="1"/>
  <c r="AJ12" i="6" s="1"/>
  <c r="AH12" i="6"/>
  <c r="P13" i="6"/>
  <c r="S13" i="6" s="1"/>
  <c r="V13" i="6" s="1"/>
  <c r="Q13" i="6"/>
  <c r="T13" i="6" s="1"/>
  <c r="W13" i="6" s="1"/>
  <c r="R13" i="6"/>
  <c r="U13" i="6" s="1"/>
  <c r="X13" i="6" s="1"/>
  <c r="AA13" i="6" s="1"/>
  <c r="Y13" i="6"/>
  <c r="AB13" i="6" s="1"/>
  <c r="AE13" i="6" s="1"/>
  <c r="AH13" i="6" s="1"/>
  <c r="Z13" i="6"/>
  <c r="AC13" i="6"/>
  <c r="AF13" i="6" s="1"/>
  <c r="AI13" i="6" s="1"/>
  <c r="AD13" i="6"/>
  <c r="AG13" i="6" s="1"/>
  <c r="AJ13" i="6" s="1"/>
  <c r="P14" i="6"/>
  <c r="S14" i="6" s="1"/>
  <c r="V14" i="6" s="1"/>
  <c r="Y14" i="6" s="1"/>
  <c r="AB14" i="6" s="1"/>
  <c r="AE14" i="6" s="1"/>
  <c r="AH14" i="6" s="1"/>
  <c r="Q14" i="6"/>
  <c r="R14" i="6"/>
  <c r="T14" i="6"/>
  <c r="W14" i="6" s="1"/>
  <c r="Z14" i="6" s="1"/>
  <c r="AC14" i="6" s="1"/>
  <c r="AF14" i="6" s="1"/>
  <c r="AI14" i="6" s="1"/>
  <c r="U14" i="6"/>
  <c r="X14" i="6" s="1"/>
  <c r="AA14" i="6" s="1"/>
  <c r="AD14" i="6" s="1"/>
  <c r="AG14" i="6"/>
  <c r="AJ14" i="6" s="1"/>
  <c r="P15" i="6"/>
  <c r="Q15" i="6"/>
  <c r="R15" i="6"/>
  <c r="U15" i="6" s="1"/>
  <c r="S15" i="6"/>
  <c r="V15" i="6" s="1"/>
  <c r="Y15" i="6" s="1"/>
  <c r="AB15" i="6" s="1"/>
  <c r="AE15" i="6" s="1"/>
  <c r="AH15" i="6" s="1"/>
  <c r="T15" i="6"/>
  <c r="W15" i="6"/>
  <c r="Z15" i="6" s="1"/>
  <c r="AC15" i="6" s="1"/>
  <c r="AF15" i="6" s="1"/>
  <c r="AI15" i="6" s="1"/>
  <c r="X15" i="6"/>
  <c r="AA15" i="6" s="1"/>
  <c r="AD15" i="6" s="1"/>
  <c r="AG15" i="6" s="1"/>
  <c r="AJ15" i="6" s="1"/>
  <c r="P16" i="6"/>
  <c r="S16" i="6" s="1"/>
  <c r="Q16" i="6"/>
  <c r="R16" i="6"/>
  <c r="T16" i="6"/>
  <c r="U16" i="6"/>
  <c r="X16" i="6" s="1"/>
  <c r="AA16" i="6" s="1"/>
  <c r="AD16" i="6" s="1"/>
  <c r="AG16" i="6" s="1"/>
  <c r="AJ16" i="6" s="1"/>
  <c r="V16" i="6"/>
  <c r="Y16" i="6" s="1"/>
  <c r="AB16" i="6" s="1"/>
  <c r="AE16" i="6" s="1"/>
  <c r="AH16" i="6" s="1"/>
  <c r="W16" i="6"/>
  <c r="Z16" i="6"/>
  <c r="AC16" i="6" s="1"/>
  <c r="AF16" i="6" s="1"/>
  <c r="AI16" i="6" s="1"/>
  <c r="P17" i="6"/>
  <c r="S17" i="6" s="1"/>
  <c r="V17" i="6" s="1"/>
  <c r="Q17" i="6"/>
  <c r="T17" i="6" s="1"/>
  <c r="W17" i="6" s="1"/>
  <c r="R17" i="6"/>
  <c r="U17" i="6" s="1"/>
  <c r="X17" i="6" s="1"/>
  <c r="AA17" i="6" s="1"/>
  <c r="Y17" i="6"/>
  <c r="AB17" i="6" s="1"/>
  <c r="AE17" i="6" s="1"/>
  <c r="AH17" i="6" s="1"/>
  <c r="Z17" i="6"/>
  <c r="AC17" i="6" s="1"/>
  <c r="AF17" i="6" s="1"/>
  <c r="AI17" i="6" s="1"/>
  <c r="AD17" i="6"/>
  <c r="AG17" i="6" s="1"/>
  <c r="AJ17" i="6" s="1"/>
  <c r="P18" i="6"/>
  <c r="S18" i="6" s="1"/>
  <c r="V18" i="6" s="1"/>
  <c r="Y18" i="6" s="1"/>
  <c r="AB18" i="6" s="1"/>
  <c r="AE18" i="6" s="1"/>
  <c r="AH18" i="6" s="1"/>
  <c r="Q18" i="6"/>
  <c r="T18" i="6" s="1"/>
  <c r="W18" i="6" s="1"/>
  <c r="Z18" i="6" s="1"/>
  <c r="AC18" i="6" s="1"/>
  <c r="AF18" i="6" s="1"/>
  <c r="AI18" i="6" s="1"/>
  <c r="R18" i="6"/>
  <c r="U18" i="6"/>
  <c r="X18" i="6" s="1"/>
  <c r="AA18" i="6" s="1"/>
  <c r="AD18" i="6" s="1"/>
  <c r="AG18" i="6"/>
  <c r="AJ18" i="6" s="1"/>
  <c r="P19" i="6"/>
  <c r="Q19" i="6"/>
  <c r="R19" i="6"/>
  <c r="U19" i="6" s="1"/>
  <c r="X19" i="6" s="1"/>
  <c r="AA19" i="6" s="1"/>
  <c r="AD19" i="6" s="1"/>
  <c r="AG19" i="6" s="1"/>
  <c r="AJ19" i="6" s="1"/>
  <c r="S19" i="6"/>
  <c r="V19" i="6" s="1"/>
  <c r="Y19" i="6" s="1"/>
  <c r="AB19" i="6" s="1"/>
  <c r="AE19" i="6" s="1"/>
  <c r="AH19" i="6" s="1"/>
  <c r="T19" i="6"/>
  <c r="W19" i="6" s="1"/>
  <c r="Z19" i="6" s="1"/>
  <c r="AC19" i="6" s="1"/>
  <c r="AF19" i="6" s="1"/>
  <c r="AI19" i="6" s="1"/>
  <c r="P20" i="6"/>
  <c r="S20" i="6" s="1"/>
  <c r="Q20" i="6"/>
  <c r="R20" i="6"/>
  <c r="T20" i="6"/>
  <c r="U20" i="6"/>
  <c r="X20" i="6" s="1"/>
  <c r="AA20" i="6" s="1"/>
  <c r="AD20" i="6" s="1"/>
  <c r="AG20" i="6" s="1"/>
  <c r="AJ20" i="6" s="1"/>
  <c r="V20" i="6"/>
  <c r="Y20" i="6" s="1"/>
  <c r="AB20" i="6" s="1"/>
  <c r="AE20" i="6" s="1"/>
  <c r="AH20" i="6" s="1"/>
  <c r="W20" i="6"/>
  <c r="Z20" i="6" s="1"/>
  <c r="AC20" i="6" s="1"/>
  <c r="AF20" i="6" s="1"/>
  <c r="AI20" i="6" s="1"/>
  <c r="P21" i="6"/>
  <c r="S21" i="6" s="1"/>
  <c r="V21" i="6" s="1"/>
  <c r="Y21" i="6" s="1"/>
  <c r="AB21" i="6" s="1"/>
  <c r="AE21" i="6" s="1"/>
  <c r="AH21" i="6" s="1"/>
  <c r="Q21" i="6"/>
  <c r="T21" i="6" s="1"/>
  <c r="W21" i="6" s="1"/>
  <c r="Z21" i="6" s="1"/>
  <c r="AC21" i="6" s="1"/>
  <c r="AF21" i="6" s="1"/>
  <c r="AI21" i="6" s="1"/>
  <c r="R21" i="6"/>
  <c r="U21" i="6" s="1"/>
  <c r="X21" i="6" s="1"/>
  <c r="AA21" i="6" s="1"/>
  <c r="AD21" i="6"/>
  <c r="AG21" i="6" s="1"/>
  <c r="AJ21" i="6" s="1"/>
  <c r="P22" i="6"/>
  <c r="S22" i="6" s="1"/>
  <c r="V22" i="6" s="1"/>
  <c r="Y22" i="6" s="1"/>
  <c r="Q22" i="6"/>
  <c r="R22" i="6"/>
  <c r="T22" i="6"/>
  <c r="W22" i="6" s="1"/>
  <c r="Z22" i="6" s="1"/>
  <c r="U22" i="6"/>
  <c r="X22" i="6" s="1"/>
  <c r="AA22" i="6" s="1"/>
  <c r="AD22" i="6" s="1"/>
  <c r="AG22" i="6" s="1"/>
  <c r="AJ22" i="6" s="1"/>
  <c r="AB22" i="6"/>
  <c r="AE22" i="6" s="1"/>
  <c r="AH22" i="6" s="1"/>
  <c r="AC22" i="6"/>
  <c r="AF22" i="6"/>
  <c r="AI22" i="6" s="1"/>
  <c r="P23" i="6"/>
  <c r="Q23" i="6"/>
  <c r="R23" i="6"/>
  <c r="U23" i="6" s="1"/>
  <c r="X23" i="6" s="1"/>
  <c r="AA23" i="6" s="1"/>
  <c r="AD23" i="6" s="1"/>
  <c r="AG23" i="6" s="1"/>
  <c r="AJ23" i="6" s="1"/>
  <c r="S23" i="6"/>
  <c r="V23" i="6" s="1"/>
  <c r="Y23" i="6" s="1"/>
  <c r="AB23" i="6" s="1"/>
  <c r="T23" i="6"/>
  <c r="W23" i="6"/>
  <c r="Z23" i="6" s="1"/>
  <c r="AC23" i="6" s="1"/>
  <c r="AE23" i="6"/>
  <c r="AH23" i="6" s="1"/>
  <c r="AF23" i="6"/>
  <c r="AI23" i="6"/>
  <c r="P24" i="6"/>
  <c r="S24" i="6" s="1"/>
  <c r="V24" i="6" s="1"/>
  <c r="Y24" i="6" s="1"/>
  <c r="AB24" i="6" s="1"/>
  <c r="AE24" i="6" s="1"/>
  <c r="AH24" i="6" s="1"/>
  <c r="Q24" i="6"/>
  <c r="R24" i="6"/>
  <c r="T24" i="6"/>
  <c r="U24" i="6"/>
  <c r="X24" i="6" s="1"/>
  <c r="W24" i="6"/>
  <c r="Z24" i="6"/>
  <c r="AC24" i="6" s="1"/>
  <c r="AF24" i="6" s="1"/>
  <c r="AA24" i="6"/>
  <c r="AD24" i="6" s="1"/>
  <c r="AG24" i="6" s="1"/>
  <c r="AJ24" i="6" s="1"/>
  <c r="AI24" i="6"/>
  <c r="P25" i="6"/>
  <c r="S25" i="6" s="1"/>
  <c r="V25" i="6" s="1"/>
  <c r="Y25" i="6" s="1"/>
  <c r="AB25" i="6" s="1"/>
  <c r="AE25" i="6" s="1"/>
  <c r="AH25" i="6" s="1"/>
  <c r="Q25" i="6"/>
  <c r="T25" i="6" s="1"/>
  <c r="W25" i="6" s="1"/>
  <c r="R25" i="6"/>
  <c r="U25" i="6" s="1"/>
  <c r="X25" i="6" s="1"/>
  <c r="AA25" i="6" s="1"/>
  <c r="AD25" i="6" s="1"/>
  <c r="AG25" i="6" s="1"/>
  <c r="AJ25" i="6" s="1"/>
  <c r="Z25" i="6"/>
  <c r="AC25" i="6" s="1"/>
  <c r="AF25" i="6" s="1"/>
  <c r="AI25" i="6" s="1"/>
  <c r="P26" i="6"/>
  <c r="Q26" i="6"/>
  <c r="R26" i="6"/>
  <c r="S26" i="6"/>
  <c r="V26" i="6" s="1"/>
  <c r="Y26" i="6" s="1"/>
  <c r="AB26" i="6" s="1"/>
  <c r="AE26" i="6" s="1"/>
  <c r="AH26" i="6" s="1"/>
  <c r="T26" i="6"/>
  <c r="W26" i="6" s="1"/>
  <c r="Z26" i="6" s="1"/>
  <c r="AC26" i="6" s="1"/>
  <c r="AF26" i="6" s="1"/>
  <c r="AI26" i="6" s="1"/>
  <c r="U26" i="6"/>
  <c r="X26" i="6" s="1"/>
  <c r="AA26" i="6" s="1"/>
  <c r="AD26" i="6" s="1"/>
  <c r="AG26" i="6" s="1"/>
  <c r="AJ26" i="6" s="1"/>
  <c r="P27" i="6"/>
  <c r="Q27" i="6"/>
  <c r="R27" i="6"/>
  <c r="U27" i="6" s="1"/>
  <c r="S27" i="6"/>
  <c r="T27" i="6"/>
  <c r="V27" i="6"/>
  <c r="Y27" i="6" s="1"/>
  <c r="AB27" i="6" s="1"/>
  <c r="AE27" i="6" s="1"/>
  <c r="AH27" i="6" s="1"/>
  <c r="W27" i="6"/>
  <c r="Z27" i="6" s="1"/>
  <c r="AC27" i="6" s="1"/>
  <c r="X27" i="6"/>
  <c r="AA27" i="6" s="1"/>
  <c r="AD27" i="6" s="1"/>
  <c r="AG27" i="6" s="1"/>
  <c r="AJ27" i="6" s="1"/>
  <c r="AF27" i="6"/>
  <c r="AI27" i="6" s="1"/>
  <c r="P28" i="6"/>
  <c r="S28" i="6" s="1"/>
  <c r="Q28" i="6"/>
  <c r="R28" i="6"/>
  <c r="T28" i="6"/>
  <c r="U28" i="6"/>
  <c r="X28" i="6" s="1"/>
  <c r="V28" i="6"/>
  <c r="Y28" i="6" s="1"/>
  <c r="AB28" i="6" s="1"/>
  <c r="AE28" i="6" s="1"/>
  <c r="AH28" i="6" s="1"/>
  <c r="W28" i="6"/>
  <c r="Z28" i="6"/>
  <c r="AC28" i="6" s="1"/>
  <c r="AF28" i="6" s="1"/>
  <c r="AI28" i="6" s="1"/>
  <c r="AA28" i="6"/>
  <c r="AD28" i="6" s="1"/>
  <c r="AG28" i="6" s="1"/>
  <c r="AJ28" i="6" s="1"/>
  <c r="P29" i="6"/>
  <c r="S29" i="6" s="1"/>
  <c r="V29" i="6" s="1"/>
  <c r="Q29" i="6"/>
  <c r="T29" i="6" s="1"/>
  <c r="W29" i="6" s="1"/>
  <c r="R29" i="6"/>
  <c r="U29" i="6" s="1"/>
  <c r="X29" i="6" s="1"/>
  <c r="AA29" i="6" s="1"/>
  <c r="Y29" i="6"/>
  <c r="Z29" i="6"/>
  <c r="AC29" i="6" s="1"/>
  <c r="AF29" i="6" s="1"/>
  <c r="AI29" i="6" s="1"/>
  <c r="AB29" i="6"/>
  <c r="AE29" i="6" s="1"/>
  <c r="AH29" i="6" s="1"/>
  <c r="AD29" i="6"/>
  <c r="AG29" i="6" s="1"/>
  <c r="AJ29" i="6" s="1"/>
  <c r="P30" i="6"/>
  <c r="S30" i="6" s="1"/>
  <c r="V30" i="6" s="1"/>
  <c r="Y30" i="6" s="1"/>
  <c r="AB30" i="6" s="1"/>
  <c r="AE30" i="6" s="1"/>
  <c r="AH30" i="6" s="1"/>
  <c r="Q30" i="6"/>
  <c r="T30" i="6" s="1"/>
  <c r="W30" i="6" s="1"/>
  <c r="Z30" i="6" s="1"/>
  <c r="AC30" i="6" s="1"/>
  <c r="AF30" i="6" s="1"/>
  <c r="AI30" i="6" s="1"/>
  <c r="R30" i="6"/>
  <c r="U30" i="6"/>
  <c r="X30" i="6" s="1"/>
  <c r="AA30" i="6" s="1"/>
  <c r="AD30" i="6" s="1"/>
  <c r="AG30" i="6"/>
  <c r="AJ30" i="6" s="1"/>
  <c r="P31" i="6"/>
  <c r="Q31" i="6"/>
  <c r="R31" i="6"/>
  <c r="U31" i="6" s="1"/>
  <c r="X31" i="6" s="1"/>
  <c r="AA31" i="6" s="1"/>
  <c r="AD31" i="6" s="1"/>
  <c r="AG31" i="6" s="1"/>
  <c r="AJ31" i="6" s="1"/>
  <c r="S31" i="6"/>
  <c r="V31" i="6" s="1"/>
  <c r="Y31" i="6" s="1"/>
  <c r="AB31" i="6" s="1"/>
  <c r="AE31" i="6" s="1"/>
  <c r="AH31" i="6" s="1"/>
  <c r="T31" i="6"/>
  <c r="W31" i="6"/>
  <c r="Z31" i="6" s="1"/>
  <c r="AC31" i="6" s="1"/>
  <c r="AF31" i="6"/>
  <c r="AI31" i="6" s="1"/>
  <c r="P32" i="6"/>
  <c r="S32" i="6" s="1"/>
  <c r="V32" i="6" s="1"/>
  <c r="Y32" i="6" s="1"/>
  <c r="AB32" i="6" s="1"/>
  <c r="AE32" i="6" s="1"/>
  <c r="AH32" i="6" s="1"/>
  <c r="Q32" i="6"/>
  <c r="R32" i="6"/>
  <c r="T32" i="6"/>
  <c r="U32" i="6"/>
  <c r="X32" i="6" s="1"/>
  <c r="W32" i="6"/>
  <c r="Z32" i="6"/>
  <c r="AC32" i="6" s="1"/>
  <c r="AF32" i="6" s="1"/>
  <c r="AI32" i="6" s="1"/>
  <c r="AA32" i="6"/>
  <c r="AD32" i="6" s="1"/>
  <c r="AG32" i="6" s="1"/>
  <c r="AJ32" i="6" s="1"/>
  <c r="P33" i="6"/>
  <c r="S33" i="6" s="1"/>
  <c r="V33" i="6" s="1"/>
  <c r="Y33" i="6" s="1"/>
  <c r="AB33" i="6" s="1"/>
  <c r="AE33" i="6" s="1"/>
  <c r="AH33" i="6" s="1"/>
  <c r="Q33" i="6"/>
  <c r="T33" i="6" s="1"/>
  <c r="W33" i="6" s="1"/>
  <c r="Z33" i="6" s="1"/>
  <c r="AC33" i="6" s="1"/>
  <c r="AF33" i="6" s="1"/>
  <c r="AI33" i="6" s="1"/>
  <c r="R33" i="6"/>
  <c r="U33" i="6" s="1"/>
  <c r="X33" i="6" s="1"/>
  <c r="AA33" i="6" s="1"/>
  <c r="AD33" i="6"/>
  <c r="AG33" i="6" s="1"/>
  <c r="AJ33" i="6" s="1"/>
  <c r="P34" i="6"/>
  <c r="S34" i="6" s="1"/>
  <c r="V34" i="6" s="1"/>
  <c r="Y34" i="6" s="1"/>
  <c r="AB34" i="6" s="1"/>
  <c r="AE34" i="6" s="1"/>
  <c r="AH34" i="6" s="1"/>
  <c r="Q34" i="6"/>
  <c r="R34" i="6"/>
  <c r="T34" i="6"/>
  <c r="W34" i="6" s="1"/>
  <c r="Z34" i="6" s="1"/>
  <c r="AC34" i="6" s="1"/>
  <c r="AF34" i="6" s="1"/>
  <c r="AI34" i="6" s="1"/>
  <c r="U34" i="6"/>
  <c r="X34" i="6" s="1"/>
  <c r="AA34" i="6" s="1"/>
  <c r="AD34" i="6" s="1"/>
  <c r="AG34" i="6" s="1"/>
  <c r="AJ34" i="6" s="1"/>
  <c r="P35" i="6"/>
  <c r="Q35" i="6"/>
  <c r="R35" i="6"/>
  <c r="U35" i="6" s="1"/>
  <c r="X35" i="6" s="1"/>
  <c r="AA35" i="6" s="1"/>
  <c r="AD35" i="6" s="1"/>
  <c r="AG35" i="6" s="1"/>
  <c r="AJ35" i="6" s="1"/>
  <c r="S35" i="6"/>
  <c r="T35" i="6"/>
  <c r="V35" i="6"/>
  <c r="Y35" i="6" s="1"/>
  <c r="AB35" i="6" s="1"/>
  <c r="AE35" i="6" s="1"/>
  <c r="AH35" i="6" s="1"/>
  <c r="W35" i="6"/>
  <c r="Z35" i="6" s="1"/>
  <c r="AC35" i="6" s="1"/>
  <c r="AF35" i="6" s="1"/>
  <c r="AI35" i="6" s="1"/>
  <c r="P36" i="6"/>
  <c r="S36" i="6" s="1"/>
  <c r="Q36" i="6"/>
  <c r="R36" i="6"/>
  <c r="T36" i="6"/>
  <c r="U36" i="6"/>
  <c r="X36" i="6" s="1"/>
  <c r="AA36" i="6" s="1"/>
  <c r="AD36" i="6" s="1"/>
  <c r="AG36" i="6" s="1"/>
  <c r="AJ36" i="6" s="1"/>
  <c r="V36" i="6"/>
  <c r="Y36" i="6" s="1"/>
  <c r="AB36" i="6" s="1"/>
  <c r="AE36" i="6" s="1"/>
  <c r="AH36" i="6" s="1"/>
  <c r="W36" i="6"/>
  <c r="Z36" i="6" s="1"/>
  <c r="AC36" i="6" s="1"/>
  <c r="AF36" i="6" s="1"/>
  <c r="AI36" i="6" s="1"/>
  <c r="P37" i="6"/>
  <c r="S37" i="6" s="1"/>
  <c r="V37" i="6" s="1"/>
  <c r="Q37" i="6"/>
  <c r="T37" i="6" s="1"/>
  <c r="W37" i="6" s="1"/>
  <c r="R37" i="6"/>
  <c r="U37" i="6" s="1"/>
  <c r="X37" i="6"/>
  <c r="AA37" i="6" s="1"/>
  <c r="AD37" i="6" s="1"/>
  <c r="AG37" i="6" s="1"/>
  <c r="AJ37" i="6" s="1"/>
  <c r="Y37" i="6"/>
  <c r="AB37" i="6" s="1"/>
  <c r="AE37" i="6" s="1"/>
  <c r="AH37" i="6" s="1"/>
  <c r="Z37" i="6"/>
  <c r="AC37" i="6" s="1"/>
  <c r="AF37" i="6" s="1"/>
  <c r="AI37" i="6" s="1"/>
  <c r="P38" i="6"/>
  <c r="Q38" i="6"/>
  <c r="T38" i="6" s="1"/>
  <c r="W38" i="6" s="1"/>
  <c r="Z38" i="6" s="1"/>
  <c r="AC38" i="6" s="1"/>
  <c r="AF38" i="6" s="1"/>
  <c r="AI38" i="6" s="1"/>
  <c r="R38" i="6"/>
  <c r="S38" i="6"/>
  <c r="V38" i="6" s="1"/>
  <c r="Y38" i="6" s="1"/>
  <c r="U38" i="6"/>
  <c r="X38" i="6" s="1"/>
  <c r="AA38" i="6"/>
  <c r="AD38" i="6" s="1"/>
  <c r="AG38" i="6" s="1"/>
  <c r="AJ38" i="6" s="1"/>
  <c r="AB38" i="6"/>
  <c r="AE38" i="6" s="1"/>
  <c r="AH38" i="6" s="1"/>
  <c r="P39" i="6"/>
  <c r="Q39" i="6"/>
  <c r="R39" i="6"/>
  <c r="U39" i="6" s="1"/>
  <c r="S39" i="6"/>
  <c r="T39" i="6"/>
  <c r="V39" i="6"/>
  <c r="Y39" i="6" s="1"/>
  <c r="AB39" i="6" s="1"/>
  <c r="AE39" i="6" s="1"/>
  <c r="AH39" i="6" s="1"/>
  <c r="W39" i="6"/>
  <c r="Z39" i="6" s="1"/>
  <c r="AC39" i="6" s="1"/>
  <c r="AF39" i="6" s="1"/>
  <c r="AI39" i="6" s="1"/>
  <c r="X39" i="6"/>
  <c r="AA39" i="6" s="1"/>
  <c r="AD39" i="6" s="1"/>
  <c r="AG39" i="6" s="1"/>
  <c r="AJ39" i="6" s="1"/>
  <c r="P40" i="6"/>
  <c r="S40" i="6" s="1"/>
  <c r="Q40" i="6"/>
  <c r="R40" i="6"/>
  <c r="T40" i="6"/>
  <c r="U40" i="6"/>
  <c r="X40" i="6" s="1"/>
  <c r="AA40" i="6" s="1"/>
  <c r="AD40" i="6" s="1"/>
  <c r="AG40" i="6" s="1"/>
  <c r="AJ40" i="6" s="1"/>
  <c r="V40" i="6"/>
  <c r="Y40" i="6" s="1"/>
  <c r="AB40" i="6" s="1"/>
  <c r="AE40" i="6" s="1"/>
  <c r="AH40" i="6" s="1"/>
  <c r="W40" i="6"/>
  <c r="Z40" i="6" s="1"/>
  <c r="AC40" i="6" s="1"/>
  <c r="AF40" i="6" s="1"/>
  <c r="AI40" i="6" s="1"/>
  <c r="P41" i="6"/>
  <c r="S41" i="6" s="1"/>
  <c r="V41" i="6" s="1"/>
  <c r="Q41" i="6"/>
  <c r="T41" i="6" s="1"/>
  <c r="W41" i="6" s="1"/>
  <c r="Z41" i="6" s="1"/>
  <c r="AC41" i="6" s="1"/>
  <c r="AF41" i="6" s="1"/>
  <c r="AI41" i="6" s="1"/>
  <c r="R41" i="6"/>
  <c r="U41" i="6" s="1"/>
  <c r="X41" i="6"/>
  <c r="AA41" i="6" s="1"/>
  <c r="AD41" i="6" s="1"/>
  <c r="AG41" i="6" s="1"/>
  <c r="AJ41" i="6" s="1"/>
  <c r="Y41" i="6"/>
  <c r="AB41" i="6" s="1"/>
  <c r="AE41" i="6" s="1"/>
  <c r="AH41" i="6" s="1"/>
  <c r="Q7" i="6"/>
  <c r="T7" i="6" s="1"/>
  <c r="W7" i="6" s="1"/>
  <c r="Z7" i="6" s="1"/>
  <c r="AC7" i="6" s="1"/>
  <c r="AF7" i="6" s="1"/>
  <c r="AI7" i="6" s="1"/>
  <c r="R7" i="6"/>
  <c r="S7" i="6"/>
  <c r="U7" i="6"/>
  <c r="V7" i="6"/>
  <c r="X7" i="6"/>
  <c r="Y7" i="6"/>
  <c r="AA7" i="6"/>
  <c r="AD7" i="6" s="1"/>
  <c r="AG7" i="6" s="1"/>
  <c r="AJ7" i="6" s="1"/>
  <c r="AB7" i="6"/>
  <c r="AE7" i="6" s="1"/>
  <c r="AH7" i="6" s="1"/>
  <c r="P7" i="6"/>
  <c r="M7" i="6"/>
  <c r="J7" i="6"/>
  <c r="O7" i="6"/>
  <c r="B11" i="1"/>
  <c r="F6" i="2" l="1"/>
  <c r="B33" i="1"/>
  <c r="U6" i="14"/>
  <c r="G8" i="6"/>
  <c r="H8" i="6"/>
  <c r="G9" i="6"/>
  <c r="H9" i="6"/>
  <c r="G10" i="6"/>
  <c r="H10" i="6"/>
  <c r="G11" i="6"/>
  <c r="H11" i="6"/>
  <c r="G12" i="6"/>
  <c r="H12" i="6"/>
  <c r="G13" i="6"/>
  <c r="H13" i="6"/>
  <c r="G14" i="6"/>
  <c r="H14" i="6"/>
  <c r="G15" i="6"/>
  <c r="H15" i="6"/>
  <c r="G16" i="6"/>
  <c r="H16" i="6"/>
  <c r="G17" i="6"/>
  <c r="H17" i="6"/>
  <c r="G18" i="6"/>
  <c r="H18" i="6"/>
  <c r="G19" i="6"/>
  <c r="H19" i="6"/>
  <c r="G20" i="6"/>
  <c r="H20" i="6"/>
  <c r="G21" i="6"/>
  <c r="H21" i="6"/>
  <c r="G22" i="6"/>
  <c r="H22" i="6"/>
  <c r="G23" i="6"/>
  <c r="H23" i="6"/>
  <c r="G24" i="6"/>
  <c r="H24" i="6"/>
  <c r="G25" i="6"/>
  <c r="H25" i="6"/>
  <c r="G26" i="6"/>
  <c r="H26" i="6"/>
  <c r="G27" i="6"/>
  <c r="H27" i="6"/>
  <c r="G28" i="6"/>
  <c r="H28" i="6"/>
  <c r="G29" i="6"/>
  <c r="H29" i="6"/>
  <c r="G30" i="6"/>
  <c r="H30" i="6"/>
  <c r="G31" i="6"/>
  <c r="H31" i="6"/>
  <c r="G32" i="6"/>
  <c r="H32" i="6"/>
  <c r="G33" i="6"/>
  <c r="H33" i="6"/>
  <c r="G34" i="6"/>
  <c r="H34" i="6"/>
  <c r="G35" i="6"/>
  <c r="H35" i="6"/>
  <c r="G36" i="6"/>
  <c r="H36" i="6"/>
  <c r="G37" i="6"/>
  <c r="H37" i="6"/>
  <c r="G38" i="6"/>
  <c r="H38" i="6"/>
  <c r="G39" i="6"/>
  <c r="H39" i="6"/>
  <c r="G40" i="6"/>
  <c r="H40" i="6"/>
  <c r="G41" i="6"/>
  <c r="H41" i="6"/>
  <c r="H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19" i="6"/>
  <c r="F19" i="6"/>
  <c r="E20" i="6"/>
  <c r="F20" i="6"/>
  <c r="E21" i="6"/>
  <c r="F21" i="6"/>
  <c r="E22" i="6"/>
  <c r="F22" i="6"/>
  <c r="E23" i="6"/>
  <c r="F23" i="6"/>
  <c r="E24" i="6"/>
  <c r="F24" i="6"/>
  <c r="E25" i="6"/>
  <c r="F25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0" i="6"/>
  <c r="F40" i="6"/>
  <c r="E41" i="6"/>
  <c r="F41" i="6"/>
  <c r="F7" i="6"/>
  <c r="G7" i="6"/>
  <c r="E7" i="6"/>
  <c r="E18" i="11"/>
  <c r="E38" i="11" s="1"/>
  <c r="J35" i="12"/>
  <c r="E40" i="12"/>
  <c r="K71" i="11"/>
  <c r="U3" i="14" s="1"/>
  <c r="L71" i="11"/>
  <c r="U4" i="14" s="1"/>
  <c r="M71" i="11"/>
  <c r="U5" i="14" s="1"/>
  <c r="N71" i="11"/>
  <c r="O71" i="11"/>
  <c r="U7" i="14" s="1"/>
  <c r="P71" i="11"/>
  <c r="U8" i="14" s="1"/>
  <c r="Q71" i="11"/>
  <c r="U9" i="14" s="1"/>
  <c r="R71" i="11"/>
  <c r="U10" i="14" s="1"/>
  <c r="J71" i="11"/>
  <c r="U2" i="14" s="1"/>
  <c r="L85" i="11"/>
  <c r="M85" i="11"/>
  <c r="N85" i="11"/>
  <c r="O85" i="11"/>
  <c r="P85" i="11"/>
  <c r="Q85" i="11"/>
  <c r="R85" i="11"/>
  <c r="L86" i="11"/>
  <c r="M86" i="11"/>
  <c r="N86" i="11"/>
  <c r="O86" i="11"/>
  <c r="P86" i="11"/>
  <c r="Q86" i="11"/>
  <c r="R86" i="11"/>
  <c r="K85" i="11"/>
  <c r="K86" i="11"/>
  <c r="J29" i="12"/>
  <c r="E41" i="12"/>
  <c r="F41" i="12"/>
  <c r="E42" i="12"/>
  <c r="F42" i="12"/>
  <c r="F40" i="12"/>
  <c r="J23" i="12"/>
  <c r="E78" i="11"/>
  <c r="F47" i="11"/>
  <c r="F45" i="11"/>
  <c r="F64" i="11"/>
  <c r="F58" i="11"/>
  <c r="F57" i="11"/>
  <c r="J92" i="11"/>
  <c r="J6" i="10"/>
  <c r="E60" i="11"/>
  <c r="E43" i="11"/>
  <c r="E39" i="11"/>
  <c r="E40" i="11"/>
  <c r="H41" i="10"/>
  <c r="K44" i="10" s="1"/>
  <c r="H13" i="10"/>
  <c r="M16" i="10" s="1"/>
  <c r="J77" i="10"/>
  <c r="J70" i="10"/>
  <c r="J63" i="10"/>
  <c r="J56" i="10"/>
  <c r="J49" i="10"/>
  <c r="J42" i="10"/>
  <c r="J35" i="10"/>
  <c r="J28" i="10"/>
  <c r="J21" i="10"/>
  <c r="J14" i="10"/>
  <c r="U7" i="10"/>
  <c r="V7" i="10"/>
  <c r="L222" i="8" l="1"/>
  <c r="O222" i="8" s="1"/>
  <c r="R222" i="8" s="1"/>
  <c r="U222" i="8" s="1"/>
  <c r="X222" i="8" s="1"/>
  <c r="AA222" i="8" s="1"/>
  <c r="AD222" i="8" s="1"/>
  <c r="AG222" i="8" s="1"/>
  <c r="AJ222" i="8" s="1"/>
  <c r="L218" i="8"/>
  <c r="O218" i="8" s="1"/>
  <c r="R218" i="8" s="1"/>
  <c r="U218" i="8" s="1"/>
  <c r="X218" i="8" s="1"/>
  <c r="AA218" i="8" s="1"/>
  <c r="AD218" i="8" s="1"/>
  <c r="AG218" i="8" s="1"/>
  <c r="AJ218" i="8" s="1"/>
  <c r="L214" i="8"/>
  <c r="O214" i="8" s="1"/>
  <c r="R214" i="8" s="1"/>
  <c r="U214" i="8" s="1"/>
  <c r="X214" i="8" s="1"/>
  <c r="AA214" i="8" s="1"/>
  <c r="AD214" i="8" s="1"/>
  <c r="AG214" i="8" s="1"/>
  <c r="AJ214" i="8" s="1"/>
  <c r="L210" i="8"/>
  <c r="O210" i="8" s="1"/>
  <c r="R210" i="8" s="1"/>
  <c r="U210" i="8" s="1"/>
  <c r="X210" i="8" s="1"/>
  <c r="AA210" i="8" s="1"/>
  <c r="AD210" i="8" s="1"/>
  <c r="AG210" i="8" s="1"/>
  <c r="AJ210" i="8" s="1"/>
  <c r="L206" i="8"/>
  <c r="O206" i="8" s="1"/>
  <c r="R206" i="8" s="1"/>
  <c r="U206" i="8" s="1"/>
  <c r="X206" i="8" s="1"/>
  <c r="AA206" i="8" s="1"/>
  <c r="AD206" i="8" s="1"/>
  <c r="AG206" i="8" s="1"/>
  <c r="AJ206" i="8" s="1"/>
  <c r="L199" i="8"/>
  <c r="O199" i="8" s="1"/>
  <c r="R199" i="8" s="1"/>
  <c r="U199" i="8" s="1"/>
  <c r="X199" i="8" s="1"/>
  <c r="AA199" i="8" s="1"/>
  <c r="AD199" i="8" s="1"/>
  <c r="AG199" i="8" s="1"/>
  <c r="AJ199" i="8" s="1"/>
  <c r="L195" i="8"/>
  <c r="O195" i="8" s="1"/>
  <c r="R195" i="8" s="1"/>
  <c r="U195" i="8" s="1"/>
  <c r="X195" i="8" s="1"/>
  <c r="AA195" i="8" s="1"/>
  <c r="AD195" i="8" s="1"/>
  <c r="AG195" i="8" s="1"/>
  <c r="AJ195" i="8" s="1"/>
  <c r="L191" i="8"/>
  <c r="O191" i="8" s="1"/>
  <c r="R191" i="8" s="1"/>
  <c r="U191" i="8" s="1"/>
  <c r="X191" i="8" s="1"/>
  <c r="AA191" i="8" s="1"/>
  <c r="AD191" i="8" s="1"/>
  <c r="AG191" i="8" s="1"/>
  <c r="AJ191" i="8" s="1"/>
  <c r="L187" i="8"/>
  <c r="O187" i="8" s="1"/>
  <c r="R187" i="8" s="1"/>
  <c r="U187" i="8" s="1"/>
  <c r="X187" i="8" s="1"/>
  <c r="AA187" i="8" s="1"/>
  <c r="AD187" i="8" s="1"/>
  <c r="AG187" i="8" s="1"/>
  <c r="AJ187" i="8" s="1"/>
  <c r="L180" i="8"/>
  <c r="O180" i="8" s="1"/>
  <c r="R180" i="8" s="1"/>
  <c r="U180" i="8" s="1"/>
  <c r="X180" i="8" s="1"/>
  <c r="AA180" i="8" s="1"/>
  <c r="AD180" i="8" s="1"/>
  <c r="AG180" i="8" s="1"/>
  <c r="AJ180" i="8" s="1"/>
  <c r="L176" i="8"/>
  <c r="O176" i="8" s="1"/>
  <c r="R176" i="8" s="1"/>
  <c r="U176" i="8" s="1"/>
  <c r="X176" i="8" s="1"/>
  <c r="AA176" i="8" s="1"/>
  <c r="AD176" i="8" s="1"/>
  <c r="AG176" i="8" s="1"/>
  <c r="AJ176" i="8" s="1"/>
  <c r="L172" i="8"/>
  <c r="O172" i="8" s="1"/>
  <c r="R172" i="8" s="1"/>
  <c r="U172" i="8" s="1"/>
  <c r="X172" i="8" s="1"/>
  <c r="AA172" i="8" s="1"/>
  <c r="AD172" i="8" s="1"/>
  <c r="AG172" i="8" s="1"/>
  <c r="AJ172" i="8" s="1"/>
  <c r="L168" i="8"/>
  <c r="O168" i="8" s="1"/>
  <c r="R168" i="8" s="1"/>
  <c r="U168" i="8" s="1"/>
  <c r="X168" i="8" s="1"/>
  <c r="AA168" i="8" s="1"/>
  <c r="AD168" i="8" s="1"/>
  <c r="AG168" i="8" s="1"/>
  <c r="AJ168" i="8" s="1"/>
  <c r="L164" i="8"/>
  <c r="O164" i="8" s="1"/>
  <c r="R164" i="8" s="1"/>
  <c r="U164" i="8" s="1"/>
  <c r="X164" i="8" s="1"/>
  <c r="AA164" i="8" s="1"/>
  <c r="AD164" i="8" s="1"/>
  <c r="AG164" i="8" s="1"/>
  <c r="AJ164" i="8" s="1"/>
  <c r="L157" i="8"/>
  <c r="O157" i="8" s="1"/>
  <c r="R157" i="8" s="1"/>
  <c r="U157" i="8" s="1"/>
  <c r="X157" i="8" s="1"/>
  <c r="AA157" i="8" s="1"/>
  <c r="AD157" i="8" s="1"/>
  <c r="AG157" i="8" s="1"/>
  <c r="AJ157" i="8" s="1"/>
  <c r="L153" i="8"/>
  <c r="O153" i="8" s="1"/>
  <c r="R153" i="8" s="1"/>
  <c r="U153" i="8" s="1"/>
  <c r="X153" i="8" s="1"/>
  <c r="AA153" i="8" s="1"/>
  <c r="AD153" i="8" s="1"/>
  <c r="AG153" i="8" s="1"/>
  <c r="AJ153" i="8" s="1"/>
  <c r="L149" i="8"/>
  <c r="O149" i="8" s="1"/>
  <c r="R149" i="8" s="1"/>
  <c r="U149" i="8" s="1"/>
  <c r="X149" i="8" s="1"/>
  <c r="AA149" i="8" s="1"/>
  <c r="AD149" i="8" s="1"/>
  <c r="AG149" i="8" s="1"/>
  <c r="AJ149" i="8" s="1"/>
  <c r="L145" i="8"/>
  <c r="O145" i="8" s="1"/>
  <c r="R145" i="8" s="1"/>
  <c r="U145" i="8" s="1"/>
  <c r="X145" i="8" s="1"/>
  <c r="AA145" i="8" s="1"/>
  <c r="AD145" i="8" s="1"/>
  <c r="AG145" i="8" s="1"/>
  <c r="AJ145" i="8" s="1"/>
  <c r="L141" i="8"/>
  <c r="O141" i="8" s="1"/>
  <c r="R141" i="8" s="1"/>
  <c r="U141" i="8" s="1"/>
  <c r="X141" i="8" s="1"/>
  <c r="AA141" i="8" s="1"/>
  <c r="AD141" i="8" s="1"/>
  <c r="AG141" i="8" s="1"/>
  <c r="AJ141" i="8" s="1"/>
  <c r="L134" i="8"/>
  <c r="O134" i="8" s="1"/>
  <c r="R134" i="8" s="1"/>
  <c r="U134" i="8" s="1"/>
  <c r="X134" i="8" s="1"/>
  <c r="AA134" i="8" s="1"/>
  <c r="AD134" i="8" s="1"/>
  <c r="AG134" i="8" s="1"/>
  <c r="AJ134" i="8" s="1"/>
  <c r="L130" i="8"/>
  <c r="O130" i="8" s="1"/>
  <c r="R130" i="8" s="1"/>
  <c r="U130" i="8" s="1"/>
  <c r="X130" i="8" s="1"/>
  <c r="AA130" i="8" s="1"/>
  <c r="AD130" i="8" s="1"/>
  <c r="AG130" i="8" s="1"/>
  <c r="AJ130" i="8" s="1"/>
  <c r="L126" i="8"/>
  <c r="O126" i="8" s="1"/>
  <c r="R126" i="8" s="1"/>
  <c r="U126" i="8" s="1"/>
  <c r="X126" i="8" s="1"/>
  <c r="AA126" i="8" s="1"/>
  <c r="AD126" i="8" s="1"/>
  <c r="AG126" i="8" s="1"/>
  <c r="AJ126" i="8" s="1"/>
  <c r="L122" i="8"/>
  <c r="O122" i="8" s="1"/>
  <c r="R122" i="8" s="1"/>
  <c r="U122" i="8" s="1"/>
  <c r="X122" i="8" s="1"/>
  <c r="AA122" i="8" s="1"/>
  <c r="AD122" i="8" s="1"/>
  <c r="AG122" i="8" s="1"/>
  <c r="AJ122" i="8" s="1"/>
  <c r="L118" i="8"/>
  <c r="O118" i="8" s="1"/>
  <c r="R118" i="8" s="1"/>
  <c r="U118" i="8" s="1"/>
  <c r="X118" i="8" s="1"/>
  <c r="AA118" i="8" s="1"/>
  <c r="AD118" i="8" s="1"/>
  <c r="AG118" i="8" s="1"/>
  <c r="AJ118" i="8" s="1"/>
  <c r="L111" i="8"/>
  <c r="O111" i="8" s="1"/>
  <c r="R111" i="8" s="1"/>
  <c r="U111" i="8" s="1"/>
  <c r="X111" i="8" s="1"/>
  <c r="AA111" i="8" s="1"/>
  <c r="AD111" i="8" s="1"/>
  <c r="AG111" i="8" s="1"/>
  <c r="AJ111" i="8" s="1"/>
  <c r="L107" i="8"/>
  <c r="O107" i="8" s="1"/>
  <c r="R107" i="8" s="1"/>
  <c r="U107" i="8" s="1"/>
  <c r="X107" i="8" s="1"/>
  <c r="AA107" i="8" s="1"/>
  <c r="AD107" i="8" s="1"/>
  <c r="AG107" i="8" s="1"/>
  <c r="AJ107" i="8" s="1"/>
  <c r="L103" i="8"/>
  <c r="O103" i="8" s="1"/>
  <c r="R103" i="8" s="1"/>
  <c r="U103" i="8" s="1"/>
  <c r="X103" i="8" s="1"/>
  <c r="AA103" i="8" s="1"/>
  <c r="AD103" i="8" s="1"/>
  <c r="AG103" i="8" s="1"/>
  <c r="AJ103" i="8" s="1"/>
  <c r="L99" i="8"/>
  <c r="O99" i="8" s="1"/>
  <c r="R99" i="8" s="1"/>
  <c r="U99" i="8" s="1"/>
  <c r="X99" i="8" s="1"/>
  <c r="AA99" i="8" s="1"/>
  <c r="AD99" i="8" s="1"/>
  <c r="AG99" i="8" s="1"/>
  <c r="AJ99" i="8" s="1"/>
  <c r="L92" i="8"/>
  <c r="O92" i="8" s="1"/>
  <c r="R92" i="8" s="1"/>
  <c r="U92" i="8" s="1"/>
  <c r="X92" i="8" s="1"/>
  <c r="AA92" i="8" s="1"/>
  <c r="AD92" i="8" s="1"/>
  <c r="AG92" i="8" s="1"/>
  <c r="AJ92" i="8" s="1"/>
  <c r="L88" i="8"/>
  <c r="O88" i="8" s="1"/>
  <c r="R88" i="8" s="1"/>
  <c r="U88" i="8" s="1"/>
  <c r="X88" i="8" s="1"/>
  <c r="AA88" i="8" s="1"/>
  <c r="AD88" i="8" s="1"/>
  <c r="AG88" i="8" s="1"/>
  <c r="AJ88" i="8" s="1"/>
  <c r="L84" i="8"/>
  <c r="O84" i="8" s="1"/>
  <c r="R84" i="8" s="1"/>
  <c r="U84" i="8" s="1"/>
  <c r="X84" i="8" s="1"/>
  <c r="AA84" i="8" s="1"/>
  <c r="AD84" i="8" s="1"/>
  <c r="AG84" i="8" s="1"/>
  <c r="AJ84" i="8" s="1"/>
  <c r="L80" i="8"/>
  <c r="O80" i="8" s="1"/>
  <c r="R80" i="8" s="1"/>
  <c r="U80" i="8" s="1"/>
  <c r="X80" i="8" s="1"/>
  <c r="AA80" i="8" s="1"/>
  <c r="AD80" i="8" s="1"/>
  <c r="AG80" i="8" s="1"/>
  <c r="AJ80" i="8" s="1"/>
  <c r="L76" i="8"/>
  <c r="O76" i="8" s="1"/>
  <c r="R76" i="8" s="1"/>
  <c r="U76" i="8" s="1"/>
  <c r="X76" i="8" s="1"/>
  <c r="AA76" i="8" s="1"/>
  <c r="AD76" i="8" s="1"/>
  <c r="AG76" i="8" s="1"/>
  <c r="AJ76" i="8" s="1"/>
  <c r="L69" i="8"/>
  <c r="O69" i="8" s="1"/>
  <c r="R69" i="8" s="1"/>
  <c r="U69" i="8" s="1"/>
  <c r="X69" i="8" s="1"/>
  <c r="AA69" i="8" s="1"/>
  <c r="AD69" i="8" s="1"/>
  <c r="AG69" i="8" s="1"/>
  <c r="AJ69" i="8" s="1"/>
  <c r="L65" i="8"/>
  <c r="O65" i="8" s="1"/>
  <c r="R65" i="8" s="1"/>
  <c r="U65" i="8" s="1"/>
  <c r="X65" i="8" s="1"/>
  <c r="AA65" i="8" s="1"/>
  <c r="AD65" i="8" s="1"/>
  <c r="AG65" i="8" s="1"/>
  <c r="AJ65" i="8" s="1"/>
  <c r="L61" i="8"/>
  <c r="O61" i="8" s="1"/>
  <c r="R61" i="8" s="1"/>
  <c r="U61" i="8" s="1"/>
  <c r="X61" i="8" s="1"/>
  <c r="AA61" i="8" s="1"/>
  <c r="AD61" i="8" s="1"/>
  <c r="AG61" i="8" s="1"/>
  <c r="AJ61" i="8" s="1"/>
  <c r="L57" i="8"/>
  <c r="O57" i="8" s="1"/>
  <c r="R57" i="8" s="1"/>
  <c r="U57" i="8" s="1"/>
  <c r="X57" i="8" s="1"/>
  <c r="AA57" i="8" s="1"/>
  <c r="AD57" i="8" s="1"/>
  <c r="AG57" i="8" s="1"/>
  <c r="AJ57" i="8" s="1"/>
  <c r="L53" i="8"/>
  <c r="O53" i="8" s="1"/>
  <c r="R53" i="8" s="1"/>
  <c r="U53" i="8" s="1"/>
  <c r="X53" i="8" s="1"/>
  <c r="AA53" i="8" s="1"/>
  <c r="AD53" i="8" s="1"/>
  <c r="AG53" i="8" s="1"/>
  <c r="AJ53" i="8" s="1"/>
  <c r="J32" i="8"/>
  <c r="M32" i="8" s="1"/>
  <c r="P32" i="8" s="1"/>
  <c r="S32" i="8" s="1"/>
  <c r="V32" i="8" s="1"/>
  <c r="Y32" i="8" s="1"/>
  <c r="AB32" i="8" s="1"/>
  <c r="AE32" i="8" s="1"/>
  <c r="AH32" i="8" s="1"/>
  <c r="J36" i="8"/>
  <c r="M36" i="8" s="1"/>
  <c r="P36" i="8" s="1"/>
  <c r="S36" i="8" s="1"/>
  <c r="V36" i="8" s="1"/>
  <c r="Y36" i="8" s="1"/>
  <c r="AB36" i="8" s="1"/>
  <c r="AE36" i="8" s="1"/>
  <c r="AH36" i="8" s="1"/>
  <c r="J40" i="8"/>
  <c r="M40" i="8" s="1"/>
  <c r="P40" i="8" s="1"/>
  <c r="S40" i="8" s="1"/>
  <c r="V40" i="8" s="1"/>
  <c r="Y40" i="8" s="1"/>
  <c r="AB40" i="8" s="1"/>
  <c r="AE40" i="8" s="1"/>
  <c r="AH40" i="8" s="1"/>
  <c r="J44" i="8"/>
  <c r="M44" i="8" s="1"/>
  <c r="P44" i="8" s="1"/>
  <c r="S44" i="8" s="1"/>
  <c r="V44" i="8" s="1"/>
  <c r="Y44" i="8" s="1"/>
  <c r="AB44" i="8" s="1"/>
  <c r="AE44" i="8" s="1"/>
  <c r="AH44" i="8" s="1"/>
  <c r="J222" i="8"/>
  <c r="M222" i="8" s="1"/>
  <c r="P222" i="8" s="1"/>
  <c r="S222" i="8" s="1"/>
  <c r="V222" i="8" s="1"/>
  <c r="Y222" i="8" s="1"/>
  <c r="AB222" i="8" s="1"/>
  <c r="AE222" i="8" s="1"/>
  <c r="AH222" i="8" s="1"/>
  <c r="J218" i="8"/>
  <c r="M218" i="8" s="1"/>
  <c r="P218" i="8" s="1"/>
  <c r="S218" i="8" s="1"/>
  <c r="V218" i="8" s="1"/>
  <c r="Y218" i="8" s="1"/>
  <c r="AB218" i="8" s="1"/>
  <c r="AE218" i="8" s="1"/>
  <c r="AH218" i="8" s="1"/>
  <c r="J214" i="8"/>
  <c r="M214" i="8" s="1"/>
  <c r="P214" i="8" s="1"/>
  <c r="S214" i="8" s="1"/>
  <c r="V214" i="8" s="1"/>
  <c r="Y214" i="8" s="1"/>
  <c r="AB214" i="8" s="1"/>
  <c r="AE214" i="8" s="1"/>
  <c r="AH214" i="8" s="1"/>
  <c r="J210" i="8"/>
  <c r="M210" i="8" s="1"/>
  <c r="P210" i="8" s="1"/>
  <c r="S210" i="8" s="1"/>
  <c r="V210" i="8" s="1"/>
  <c r="Y210" i="8" s="1"/>
  <c r="AB210" i="8" s="1"/>
  <c r="AE210" i="8" s="1"/>
  <c r="AH210" i="8" s="1"/>
  <c r="J206" i="8"/>
  <c r="M206" i="8" s="1"/>
  <c r="P206" i="8" s="1"/>
  <c r="S206" i="8" s="1"/>
  <c r="V206" i="8" s="1"/>
  <c r="Y206" i="8" s="1"/>
  <c r="AB206" i="8" s="1"/>
  <c r="AE206" i="8" s="1"/>
  <c r="AH206" i="8" s="1"/>
  <c r="J199" i="8"/>
  <c r="M199" i="8" s="1"/>
  <c r="P199" i="8" s="1"/>
  <c r="S199" i="8" s="1"/>
  <c r="V199" i="8" s="1"/>
  <c r="Y199" i="8" s="1"/>
  <c r="AB199" i="8" s="1"/>
  <c r="AE199" i="8" s="1"/>
  <c r="AH199" i="8" s="1"/>
  <c r="J195" i="8"/>
  <c r="M195" i="8" s="1"/>
  <c r="P195" i="8" s="1"/>
  <c r="S195" i="8" s="1"/>
  <c r="V195" i="8" s="1"/>
  <c r="Y195" i="8" s="1"/>
  <c r="AB195" i="8" s="1"/>
  <c r="AE195" i="8" s="1"/>
  <c r="AH195" i="8" s="1"/>
  <c r="J191" i="8"/>
  <c r="M191" i="8" s="1"/>
  <c r="P191" i="8" s="1"/>
  <c r="S191" i="8" s="1"/>
  <c r="V191" i="8" s="1"/>
  <c r="Y191" i="8" s="1"/>
  <c r="AB191" i="8" s="1"/>
  <c r="AE191" i="8" s="1"/>
  <c r="AH191" i="8" s="1"/>
  <c r="J187" i="8"/>
  <c r="M187" i="8" s="1"/>
  <c r="P187" i="8" s="1"/>
  <c r="S187" i="8" s="1"/>
  <c r="V187" i="8" s="1"/>
  <c r="Y187" i="8" s="1"/>
  <c r="AB187" i="8" s="1"/>
  <c r="AE187" i="8" s="1"/>
  <c r="AH187" i="8" s="1"/>
  <c r="J180" i="8"/>
  <c r="M180" i="8" s="1"/>
  <c r="P180" i="8" s="1"/>
  <c r="S180" i="8" s="1"/>
  <c r="V180" i="8" s="1"/>
  <c r="Y180" i="8" s="1"/>
  <c r="AB180" i="8" s="1"/>
  <c r="AE180" i="8" s="1"/>
  <c r="AH180" i="8" s="1"/>
  <c r="J176" i="8"/>
  <c r="M176" i="8" s="1"/>
  <c r="P176" i="8" s="1"/>
  <c r="S176" i="8" s="1"/>
  <c r="V176" i="8" s="1"/>
  <c r="Y176" i="8" s="1"/>
  <c r="AB176" i="8" s="1"/>
  <c r="AE176" i="8" s="1"/>
  <c r="AH176" i="8" s="1"/>
  <c r="J172" i="8"/>
  <c r="M172" i="8" s="1"/>
  <c r="P172" i="8" s="1"/>
  <c r="S172" i="8" s="1"/>
  <c r="V172" i="8" s="1"/>
  <c r="Y172" i="8" s="1"/>
  <c r="AB172" i="8" s="1"/>
  <c r="AE172" i="8" s="1"/>
  <c r="AH172" i="8" s="1"/>
  <c r="J168" i="8"/>
  <c r="M168" i="8" s="1"/>
  <c r="P168" i="8" s="1"/>
  <c r="S168" i="8" s="1"/>
  <c r="V168" i="8" s="1"/>
  <c r="Y168" i="8" s="1"/>
  <c r="AB168" i="8" s="1"/>
  <c r="AE168" i="8" s="1"/>
  <c r="AH168" i="8" s="1"/>
  <c r="J164" i="8"/>
  <c r="M164" i="8" s="1"/>
  <c r="P164" i="8" s="1"/>
  <c r="S164" i="8" s="1"/>
  <c r="V164" i="8" s="1"/>
  <c r="Y164" i="8" s="1"/>
  <c r="AB164" i="8" s="1"/>
  <c r="AE164" i="8" s="1"/>
  <c r="AH164" i="8" s="1"/>
  <c r="J157" i="8"/>
  <c r="M157" i="8" s="1"/>
  <c r="P157" i="8" s="1"/>
  <c r="S157" i="8" s="1"/>
  <c r="V157" i="8" s="1"/>
  <c r="Y157" i="8" s="1"/>
  <c r="AB157" i="8" s="1"/>
  <c r="AE157" i="8" s="1"/>
  <c r="AH157" i="8" s="1"/>
  <c r="J153" i="8"/>
  <c r="M153" i="8" s="1"/>
  <c r="P153" i="8" s="1"/>
  <c r="S153" i="8" s="1"/>
  <c r="V153" i="8" s="1"/>
  <c r="Y153" i="8" s="1"/>
  <c r="AB153" i="8" s="1"/>
  <c r="AE153" i="8" s="1"/>
  <c r="AH153" i="8" s="1"/>
  <c r="J149" i="8"/>
  <c r="M149" i="8" s="1"/>
  <c r="P149" i="8" s="1"/>
  <c r="S149" i="8" s="1"/>
  <c r="V149" i="8" s="1"/>
  <c r="Y149" i="8" s="1"/>
  <c r="AB149" i="8" s="1"/>
  <c r="AE149" i="8" s="1"/>
  <c r="AH149" i="8" s="1"/>
  <c r="J145" i="8"/>
  <c r="M145" i="8" s="1"/>
  <c r="P145" i="8" s="1"/>
  <c r="S145" i="8" s="1"/>
  <c r="V145" i="8" s="1"/>
  <c r="Y145" i="8" s="1"/>
  <c r="AB145" i="8" s="1"/>
  <c r="AE145" i="8" s="1"/>
  <c r="AH145" i="8" s="1"/>
  <c r="J141" i="8"/>
  <c r="M141" i="8" s="1"/>
  <c r="P141" i="8" s="1"/>
  <c r="S141" i="8" s="1"/>
  <c r="V141" i="8" s="1"/>
  <c r="Y141" i="8" s="1"/>
  <c r="AB141" i="8" s="1"/>
  <c r="AE141" i="8" s="1"/>
  <c r="AH141" i="8" s="1"/>
  <c r="J134" i="8"/>
  <c r="M134" i="8" s="1"/>
  <c r="P134" i="8" s="1"/>
  <c r="S134" i="8" s="1"/>
  <c r="V134" i="8" s="1"/>
  <c r="Y134" i="8" s="1"/>
  <c r="AB134" i="8" s="1"/>
  <c r="AE134" i="8" s="1"/>
  <c r="AH134" i="8" s="1"/>
  <c r="J130" i="8"/>
  <c r="M130" i="8" s="1"/>
  <c r="P130" i="8" s="1"/>
  <c r="S130" i="8" s="1"/>
  <c r="V130" i="8" s="1"/>
  <c r="Y130" i="8" s="1"/>
  <c r="AB130" i="8" s="1"/>
  <c r="AE130" i="8" s="1"/>
  <c r="AH130" i="8" s="1"/>
  <c r="J126" i="8"/>
  <c r="M126" i="8" s="1"/>
  <c r="P126" i="8" s="1"/>
  <c r="S126" i="8" s="1"/>
  <c r="V126" i="8" s="1"/>
  <c r="Y126" i="8" s="1"/>
  <c r="AB126" i="8" s="1"/>
  <c r="AE126" i="8" s="1"/>
  <c r="AH126" i="8" s="1"/>
  <c r="J122" i="8"/>
  <c r="M122" i="8" s="1"/>
  <c r="P122" i="8" s="1"/>
  <c r="S122" i="8" s="1"/>
  <c r="V122" i="8" s="1"/>
  <c r="Y122" i="8" s="1"/>
  <c r="AB122" i="8" s="1"/>
  <c r="AE122" i="8" s="1"/>
  <c r="AH122" i="8" s="1"/>
  <c r="J118" i="8"/>
  <c r="M118" i="8" s="1"/>
  <c r="P118" i="8" s="1"/>
  <c r="S118" i="8" s="1"/>
  <c r="V118" i="8" s="1"/>
  <c r="Y118" i="8" s="1"/>
  <c r="AB118" i="8" s="1"/>
  <c r="AE118" i="8" s="1"/>
  <c r="AH118" i="8" s="1"/>
  <c r="J111" i="8"/>
  <c r="M111" i="8" s="1"/>
  <c r="P111" i="8" s="1"/>
  <c r="S111" i="8" s="1"/>
  <c r="V111" i="8" s="1"/>
  <c r="Y111" i="8" s="1"/>
  <c r="AB111" i="8" s="1"/>
  <c r="AE111" i="8" s="1"/>
  <c r="AH111" i="8" s="1"/>
  <c r="J107" i="8"/>
  <c r="M107" i="8" s="1"/>
  <c r="P107" i="8" s="1"/>
  <c r="S107" i="8" s="1"/>
  <c r="V107" i="8" s="1"/>
  <c r="Y107" i="8" s="1"/>
  <c r="AB107" i="8" s="1"/>
  <c r="AE107" i="8" s="1"/>
  <c r="AH107" i="8" s="1"/>
  <c r="J103" i="8"/>
  <c r="M103" i="8" s="1"/>
  <c r="P103" i="8" s="1"/>
  <c r="S103" i="8" s="1"/>
  <c r="V103" i="8" s="1"/>
  <c r="Y103" i="8" s="1"/>
  <c r="AB103" i="8" s="1"/>
  <c r="AE103" i="8" s="1"/>
  <c r="AH103" i="8" s="1"/>
  <c r="J99" i="8"/>
  <c r="M99" i="8" s="1"/>
  <c r="P99" i="8" s="1"/>
  <c r="S99" i="8" s="1"/>
  <c r="V99" i="8" s="1"/>
  <c r="Y99" i="8" s="1"/>
  <c r="AB99" i="8" s="1"/>
  <c r="AE99" i="8" s="1"/>
  <c r="AH99" i="8" s="1"/>
  <c r="J92" i="8"/>
  <c r="M92" i="8" s="1"/>
  <c r="P92" i="8" s="1"/>
  <c r="S92" i="8" s="1"/>
  <c r="V92" i="8" s="1"/>
  <c r="Y92" i="8" s="1"/>
  <c r="AB92" i="8" s="1"/>
  <c r="AE92" i="8" s="1"/>
  <c r="AH92" i="8" s="1"/>
  <c r="J88" i="8"/>
  <c r="M88" i="8" s="1"/>
  <c r="P88" i="8" s="1"/>
  <c r="S88" i="8" s="1"/>
  <c r="V88" i="8" s="1"/>
  <c r="Y88" i="8" s="1"/>
  <c r="AB88" i="8" s="1"/>
  <c r="AE88" i="8" s="1"/>
  <c r="AH88" i="8" s="1"/>
  <c r="J84" i="8"/>
  <c r="M84" i="8" s="1"/>
  <c r="P84" i="8" s="1"/>
  <c r="S84" i="8" s="1"/>
  <c r="V84" i="8" s="1"/>
  <c r="Y84" i="8" s="1"/>
  <c r="AB84" i="8" s="1"/>
  <c r="AE84" i="8" s="1"/>
  <c r="AH84" i="8" s="1"/>
  <c r="J80" i="8"/>
  <c r="M80" i="8" s="1"/>
  <c r="P80" i="8" s="1"/>
  <c r="S80" i="8" s="1"/>
  <c r="V80" i="8" s="1"/>
  <c r="Y80" i="8" s="1"/>
  <c r="AB80" i="8" s="1"/>
  <c r="AE80" i="8" s="1"/>
  <c r="AH80" i="8" s="1"/>
  <c r="J76" i="8"/>
  <c r="M76" i="8" s="1"/>
  <c r="P76" i="8" s="1"/>
  <c r="S76" i="8" s="1"/>
  <c r="V76" i="8" s="1"/>
  <c r="Y76" i="8" s="1"/>
  <c r="AB76" i="8" s="1"/>
  <c r="AE76" i="8" s="1"/>
  <c r="AH76" i="8" s="1"/>
  <c r="J69" i="8"/>
  <c r="M69" i="8" s="1"/>
  <c r="P69" i="8" s="1"/>
  <c r="S69" i="8" s="1"/>
  <c r="V69" i="8" s="1"/>
  <c r="Y69" i="8" s="1"/>
  <c r="AB69" i="8" s="1"/>
  <c r="AE69" i="8" s="1"/>
  <c r="AH69" i="8" s="1"/>
  <c r="J65" i="8"/>
  <c r="M65" i="8" s="1"/>
  <c r="P65" i="8" s="1"/>
  <c r="S65" i="8" s="1"/>
  <c r="V65" i="8" s="1"/>
  <c r="Y65" i="8" s="1"/>
  <c r="AB65" i="8" s="1"/>
  <c r="AE65" i="8" s="1"/>
  <c r="AH65" i="8" s="1"/>
  <c r="J61" i="8"/>
  <c r="M61" i="8" s="1"/>
  <c r="P61" i="8" s="1"/>
  <c r="S61" i="8" s="1"/>
  <c r="V61" i="8" s="1"/>
  <c r="Y61" i="8" s="1"/>
  <c r="AB61" i="8" s="1"/>
  <c r="AE61" i="8" s="1"/>
  <c r="AH61" i="8" s="1"/>
  <c r="J57" i="8"/>
  <c r="M57" i="8" s="1"/>
  <c r="P57" i="8" s="1"/>
  <c r="S57" i="8" s="1"/>
  <c r="V57" i="8" s="1"/>
  <c r="Y57" i="8" s="1"/>
  <c r="AB57" i="8" s="1"/>
  <c r="AE57" i="8" s="1"/>
  <c r="AH57" i="8" s="1"/>
  <c r="J53" i="8"/>
  <c r="M53" i="8" s="1"/>
  <c r="P53" i="8" s="1"/>
  <c r="S53" i="8" s="1"/>
  <c r="V53" i="8" s="1"/>
  <c r="Y53" i="8" s="1"/>
  <c r="AB53" i="8" s="1"/>
  <c r="AE53" i="8" s="1"/>
  <c r="AH53" i="8" s="1"/>
  <c r="L32" i="8"/>
  <c r="O32" i="8" s="1"/>
  <c r="R32" i="8" s="1"/>
  <c r="U32" i="8" s="1"/>
  <c r="X32" i="8" s="1"/>
  <c r="AA32" i="8" s="1"/>
  <c r="AD32" i="8" s="1"/>
  <c r="AG32" i="8" s="1"/>
  <c r="AJ32" i="8" s="1"/>
  <c r="L36" i="8"/>
  <c r="O36" i="8" s="1"/>
  <c r="R36" i="8" s="1"/>
  <c r="U36" i="8" s="1"/>
  <c r="X36" i="8" s="1"/>
  <c r="AA36" i="8" s="1"/>
  <c r="AD36" i="8" s="1"/>
  <c r="AG36" i="8" s="1"/>
  <c r="AJ36" i="8" s="1"/>
  <c r="L40" i="8"/>
  <c r="O40" i="8" s="1"/>
  <c r="R40" i="8" s="1"/>
  <c r="U40" i="8" s="1"/>
  <c r="X40" i="8" s="1"/>
  <c r="AA40" i="8" s="1"/>
  <c r="AD40" i="8" s="1"/>
  <c r="AG40" i="8" s="1"/>
  <c r="AJ40" i="8" s="1"/>
  <c r="L221" i="8"/>
  <c r="O221" i="8" s="1"/>
  <c r="R221" i="8" s="1"/>
  <c r="U221" i="8" s="1"/>
  <c r="X221" i="8" s="1"/>
  <c r="AA221" i="8" s="1"/>
  <c r="AD221" i="8" s="1"/>
  <c r="AG221" i="8" s="1"/>
  <c r="AJ221" i="8" s="1"/>
  <c r="L217" i="8"/>
  <c r="O217" i="8" s="1"/>
  <c r="R217" i="8" s="1"/>
  <c r="U217" i="8" s="1"/>
  <c r="X217" i="8" s="1"/>
  <c r="AA217" i="8" s="1"/>
  <c r="AD217" i="8" s="1"/>
  <c r="AG217" i="8" s="1"/>
  <c r="AJ217" i="8" s="1"/>
  <c r="L213" i="8"/>
  <c r="O213" i="8" s="1"/>
  <c r="R213" i="8" s="1"/>
  <c r="U213" i="8" s="1"/>
  <c r="X213" i="8" s="1"/>
  <c r="AA213" i="8" s="1"/>
  <c r="AD213" i="8" s="1"/>
  <c r="AG213" i="8" s="1"/>
  <c r="AJ213" i="8" s="1"/>
  <c r="L209" i="8"/>
  <c r="O209" i="8" s="1"/>
  <c r="R209" i="8" s="1"/>
  <c r="U209" i="8" s="1"/>
  <c r="X209" i="8" s="1"/>
  <c r="AA209" i="8" s="1"/>
  <c r="AD209" i="8" s="1"/>
  <c r="AG209" i="8" s="1"/>
  <c r="AJ209" i="8" s="1"/>
  <c r="L202" i="8"/>
  <c r="O202" i="8" s="1"/>
  <c r="R202" i="8" s="1"/>
  <c r="U202" i="8" s="1"/>
  <c r="X202" i="8" s="1"/>
  <c r="AA202" i="8" s="1"/>
  <c r="AD202" i="8" s="1"/>
  <c r="AG202" i="8" s="1"/>
  <c r="AJ202" i="8" s="1"/>
  <c r="L198" i="8"/>
  <c r="O198" i="8" s="1"/>
  <c r="R198" i="8" s="1"/>
  <c r="U198" i="8" s="1"/>
  <c r="X198" i="8" s="1"/>
  <c r="AA198" i="8" s="1"/>
  <c r="AD198" i="8" s="1"/>
  <c r="AG198" i="8" s="1"/>
  <c r="AJ198" i="8" s="1"/>
  <c r="L194" i="8"/>
  <c r="O194" i="8" s="1"/>
  <c r="R194" i="8" s="1"/>
  <c r="U194" i="8" s="1"/>
  <c r="X194" i="8" s="1"/>
  <c r="AA194" i="8" s="1"/>
  <c r="AD194" i="8" s="1"/>
  <c r="AG194" i="8" s="1"/>
  <c r="AJ194" i="8" s="1"/>
  <c r="L190" i="8"/>
  <c r="O190" i="8" s="1"/>
  <c r="R190" i="8" s="1"/>
  <c r="U190" i="8" s="1"/>
  <c r="X190" i="8" s="1"/>
  <c r="AA190" i="8" s="1"/>
  <c r="AD190" i="8" s="1"/>
  <c r="AG190" i="8" s="1"/>
  <c r="AJ190" i="8" s="1"/>
  <c r="L186" i="8"/>
  <c r="O186" i="8" s="1"/>
  <c r="R186" i="8" s="1"/>
  <c r="U186" i="8" s="1"/>
  <c r="X186" i="8" s="1"/>
  <c r="AA186" i="8" s="1"/>
  <c r="AD186" i="8" s="1"/>
  <c r="AG186" i="8" s="1"/>
  <c r="AJ186" i="8" s="1"/>
  <c r="L179" i="8"/>
  <c r="O179" i="8" s="1"/>
  <c r="R179" i="8" s="1"/>
  <c r="U179" i="8" s="1"/>
  <c r="X179" i="8" s="1"/>
  <c r="AA179" i="8" s="1"/>
  <c r="AD179" i="8" s="1"/>
  <c r="AG179" i="8" s="1"/>
  <c r="AJ179" i="8" s="1"/>
  <c r="L175" i="8"/>
  <c r="O175" i="8" s="1"/>
  <c r="R175" i="8" s="1"/>
  <c r="U175" i="8" s="1"/>
  <c r="X175" i="8" s="1"/>
  <c r="AA175" i="8" s="1"/>
  <c r="AD175" i="8" s="1"/>
  <c r="AG175" i="8" s="1"/>
  <c r="AJ175" i="8" s="1"/>
  <c r="L171" i="8"/>
  <c r="O171" i="8" s="1"/>
  <c r="R171" i="8" s="1"/>
  <c r="U171" i="8" s="1"/>
  <c r="X171" i="8" s="1"/>
  <c r="AA171" i="8" s="1"/>
  <c r="AD171" i="8" s="1"/>
  <c r="AG171" i="8" s="1"/>
  <c r="AJ171" i="8" s="1"/>
  <c r="L167" i="8"/>
  <c r="O167" i="8" s="1"/>
  <c r="R167" i="8" s="1"/>
  <c r="U167" i="8" s="1"/>
  <c r="X167" i="8" s="1"/>
  <c r="AA167" i="8" s="1"/>
  <c r="AD167" i="8" s="1"/>
  <c r="AG167" i="8" s="1"/>
  <c r="AJ167" i="8" s="1"/>
  <c r="L163" i="8"/>
  <c r="O163" i="8" s="1"/>
  <c r="R163" i="8" s="1"/>
  <c r="U163" i="8" s="1"/>
  <c r="X163" i="8" s="1"/>
  <c r="AA163" i="8" s="1"/>
  <c r="AD163" i="8" s="1"/>
  <c r="AG163" i="8" s="1"/>
  <c r="AJ163" i="8" s="1"/>
  <c r="L156" i="8"/>
  <c r="O156" i="8" s="1"/>
  <c r="R156" i="8" s="1"/>
  <c r="U156" i="8" s="1"/>
  <c r="X156" i="8" s="1"/>
  <c r="AA156" i="8" s="1"/>
  <c r="AD156" i="8" s="1"/>
  <c r="AG156" i="8" s="1"/>
  <c r="AJ156" i="8" s="1"/>
  <c r="L152" i="8"/>
  <c r="O152" i="8" s="1"/>
  <c r="R152" i="8" s="1"/>
  <c r="U152" i="8" s="1"/>
  <c r="X152" i="8" s="1"/>
  <c r="AA152" i="8" s="1"/>
  <c r="AD152" i="8" s="1"/>
  <c r="AG152" i="8" s="1"/>
  <c r="AJ152" i="8" s="1"/>
  <c r="L148" i="8"/>
  <c r="O148" i="8" s="1"/>
  <c r="R148" i="8" s="1"/>
  <c r="U148" i="8" s="1"/>
  <c r="X148" i="8" s="1"/>
  <c r="AA148" i="8" s="1"/>
  <c r="AD148" i="8" s="1"/>
  <c r="AG148" i="8" s="1"/>
  <c r="AJ148" i="8" s="1"/>
  <c r="L144" i="8"/>
  <c r="O144" i="8" s="1"/>
  <c r="R144" i="8" s="1"/>
  <c r="U144" i="8" s="1"/>
  <c r="X144" i="8" s="1"/>
  <c r="AA144" i="8" s="1"/>
  <c r="AD144" i="8" s="1"/>
  <c r="AG144" i="8" s="1"/>
  <c r="AJ144" i="8" s="1"/>
  <c r="L140" i="8"/>
  <c r="O140" i="8" s="1"/>
  <c r="R140" i="8" s="1"/>
  <c r="U140" i="8" s="1"/>
  <c r="X140" i="8" s="1"/>
  <c r="AA140" i="8" s="1"/>
  <c r="AD140" i="8" s="1"/>
  <c r="AG140" i="8" s="1"/>
  <c r="AJ140" i="8" s="1"/>
  <c r="L133" i="8"/>
  <c r="O133" i="8" s="1"/>
  <c r="R133" i="8" s="1"/>
  <c r="U133" i="8" s="1"/>
  <c r="X133" i="8" s="1"/>
  <c r="AA133" i="8" s="1"/>
  <c r="AD133" i="8" s="1"/>
  <c r="AG133" i="8" s="1"/>
  <c r="AJ133" i="8" s="1"/>
  <c r="L129" i="8"/>
  <c r="O129" i="8" s="1"/>
  <c r="R129" i="8" s="1"/>
  <c r="U129" i="8" s="1"/>
  <c r="X129" i="8" s="1"/>
  <c r="AA129" i="8" s="1"/>
  <c r="AD129" i="8" s="1"/>
  <c r="AG129" i="8" s="1"/>
  <c r="AJ129" i="8" s="1"/>
  <c r="L125" i="8"/>
  <c r="O125" i="8" s="1"/>
  <c r="R125" i="8" s="1"/>
  <c r="U125" i="8" s="1"/>
  <c r="X125" i="8" s="1"/>
  <c r="AA125" i="8" s="1"/>
  <c r="AD125" i="8" s="1"/>
  <c r="AG125" i="8" s="1"/>
  <c r="AJ125" i="8" s="1"/>
  <c r="L121" i="8"/>
  <c r="O121" i="8" s="1"/>
  <c r="R121" i="8" s="1"/>
  <c r="U121" i="8" s="1"/>
  <c r="X121" i="8" s="1"/>
  <c r="AA121" i="8" s="1"/>
  <c r="AD121" i="8" s="1"/>
  <c r="AG121" i="8" s="1"/>
  <c r="AJ121" i="8" s="1"/>
  <c r="L114" i="8"/>
  <c r="O114" i="8" s="1"/>
  <c r="R114" i="8" s="1"/>
  <c r="U114" i="8" s="1"/>
  <c r="X114" i="8" s="1"/>
  <c r="AA114" i="8" s="1"/>
  <c r="AD114" i="8" s="1"/>
  <c r="AG114" i="8" s="1"/>
  <c r="AJ114" i="8" s="1"/>
  <c r="L110" i="8"/>
  <c r="O110" i="8" s="1"/>
  <c r="R110" i="8" s="1"/>
  <c r="U110" i="8" s="1"/>
  <c r="X110" i="8" s="1"/>
  <c r="AA110" i="8" s="1"/>
  <c r="AD110" i="8" s="1"/>
  <c r="AG110" i="8" s="1"/>
  <c r="AJ110" i="8" s="1"/>
  <c r="L106" i="8"/>
  <c r="O106" i="8" s="1"/>
  <c r="R106" i="8" s="1"/>
  <c r="U106" i="8" s="1"/>
  <c r="X106" i="8" s="1"/>
  <c r="AA106" i="8" s="1"/>
  <c r="AD106" i="8" s="1"/>
  <c r="AG106" i="8" s="1"/>
  <c r="AJ106" i="8" s="1"/>
  <c r="L102" i="8"/>
  <c r="O102" i="8" s="1"/>
  <c r="R102" i="8" s="1"/>
  <c r="U102" i="8" s="1"/>
  <c r="X102" i="8" s="1"/>
  <c r="AA102" i="8" s="1"/>
  <c r="AD102" i="8" s="1"/>
  <c r="AG102" i="8" s="1"/>
  <c r="AJ102" i="8" s="1"/>
  <c r="L98" i="8"/>
  <c r="O98" i="8" s="1"/>
  <c r="R98" i="8" s="1"/>
  <c r="U98" i="8" s="1"/>
  <c r="X98" i="8" s="1"/>
  <c r="AA98" i="8" s="1"/>
  <c r="AD98" i="8" s="1"/>
  <c r="AG98" i="8" s="1"/>
  <c r="AJ98" i="8" s="1"/>
  <c r="K221" i="8"/>
  <c r="N221" i="8" s="1"/>
  <c r="Q221" i="8" s="1"/>
  <c r="T221" i="8" s="1"/>
  <c r="W221" i="8" s="1"/>
  <c r="Z221" i="8" s="1"/>
  <c r="AC221" i="8" s="1"/>
  <c r="AF221" i="8" s="1"/>
  <c r="AI221" i="8" s="1"/>
  <c r="K217" i="8"/>
  <c r="N217" i="8" s="1"/>
  <c r="Q217" i="8" s="1"/>
  <c r="T217" i="8" s="1"/>
  <c r="W217" i="8" s="1"/>
  <c r="Z217" i="8" s="1"/>
  <c r="AC217" i="8" s="1"/>
  <c r="AF217" i="8" s="1"/>
  <c r="AI217" i="8" s="1"/>
  <c r="K213" i="8"/>
  <c r="N213" i="8" s="1"/>
  <c r="Q213" i="8" s="1"/>
  <c r="T213" i="8" s="1"/>
  <c r="W213" i="8" s="1"/>
  <c r="Z213" i="8" s="1"/>
  <c r="AC213" i="8" s="1"/>
  <c r="AF213" i="8" s="1"/>
  <c r="AI213" i="8" s="1"/>
  <c r="K209" i="8"/>
  <c r="N209" i="8" s="1"/>
  <c r="Q209" i="8" s="1"/>
  <c r="T209" i="8" s="1"/>
  <c r="W209" i="8" s="1"/>
  <c r="Z209" i="8" s="1"/>
  <c r="AC209" i="8" s="1"/>
  <c r="AF209" i="8" s="1"/>
  <c r="AI209" i="8" s="1"/>
  <c r="K202" i="8"/>
  <c r="N202" i="8" s="1"/>
  <c r="Q202" i="8" s="1"/>
  <c r="T202" i="8" s="1"/>
  <c r="W202" i="8" s="1"/>
  <c r="Z202" i="8" s="1"/>
  <c r="AC202" i="8" s="1"/>
  <c r="AF202" i="8" s="1"/>
  <c r="AI202" i="8" s="1"/>
  <c r="K198" i="8"/>
  <c r="N198" i="8" s="1"/>
  <c r="Q198" i="8" s="1"/>
  <c r="T198" i="8" s="1"/>
  <c r="W198" i="8" s="1"/>
  <c r="Z198" i="8" s="1"/>
  <c r="AC198" i="8" s="1"/>
  <c r="AF198" i="8" s="1"/>
  <c r="AI198" i="8" s="1"/>
  <c r="K194" i="8"/>
  <c r="N194" i="8" s="1"/>
  <c r="Q194" i="8" s="1"/>
  <c r="T194" i="8" s="1"/>
  <c r="W194" i="8" s="1"/>
  <c r="Z194" i="8" s="1"/>
  <c r="AC194" i="8" s="1"/>
  <c r="AF194" i="8" s="1"/>
  <c r="AI194" i="8" s="1"/>
  <c r="K190" i="8"/>
  <c r="N190" i="8" s="1"/>
  <c r="Q190" i="8" s="1"/>
  <c r="T190" i="8" s="1"/>
  <c r="W190" i="8" s="1"/>
  <c r="Z190" i="8" s="1"/>
  <c r="AC190" i="8" s="1"/>
  <c r="AF190" i="8" s="1"/>
  <c r="AI190" i="8" s="1"/>
  <c r="K186" i="8"/>
  <c r="N186" i="8" s="1"/>
  <c r="Q186" i="8" s="1"/>
  <c r="T186" i="8" s="1"/>
  <c r="W186" i="8" s="1"/>
  <c r="Z186" i="8" s="1"/>
  <c r="AC186" i="8" s="1"/>
  <c r="AF186" i="8" s="1"/>
  <c r="AI186" i="8" s="1"/>
  <c r="K179" i="8"/>
  <c r="N179" i="8" s="1"/>
  <c r="Q179" i="8" s="1"/>
  <c r="T179" i="8" s="1"/>
  <c r="W179" i="8" s="1"/>
  <c r="Z179" i="8" s="1"/>
  <c r="AC179" i="8" s="1"/>
  <c r="AF179" i="8" s="1"/>
  <c r="AI179" i="8" s="1"/>
  <c r="K175" i="8"/>
  <c r="N175" i="8" s="1"/>
  <c r="Q175" i="8" s="1"/>
  <c r="T175" i="8" s="1"/>
  <c r="W175" i="8" s="1"/>
  <c r="Z175" i="8" s="1"/>
  <c r="AC175" i="8" s="1"/>
  <c r="AF175" i="8" s="1"/>
  <c r="AI175" i="8" s="1"/>
  <c r="K171" i="8"/>
  <c r="N171" i="8" s="1"/>
  <c r="Q171" i="8" s="1"/>
  <c r="T171" i="8" s="1"/>
  <c r="W171" i="8" s="1"/>
  <c r="Z171" i="8" s="1"/>
  <c r="AC171" i="8" s="1"/>
  <c r="AF171" i="8" s="1"/>
  <c r="AI171" i="8" s="1"/>
  <c r="K167" i="8"/>
  <c r="N167" i="8" s="1"/>
  <c r="Q167" i="8" s="1"/>
  <c r="T167" i="8" s="1"/>
  <c r="W167" i="8" s="1"/>
  <c r="Z167" i="8" s="1"/>
  <c r="AC167" i="8" s="1"/>
  <c r="AF167" i="8" s="1"/>
  <c r="AI167" i="8" s="1"/>
  <c r="K163" i="8"/>
  <c r="N163" i="8" s="1"/>
  <c r="Q163" i="8" s="1"/>
  <c r="T163" i="8" s="1"/>
  <c r="W163" i="8" s="1"/>
  <c r="Z163" i="8" s="1"/>
  <c r="AC163" i="8" s="1"/>
  <c r="AF163" i="8" s="1"/>
  <c r="AI163" i="8" s="1"/>
  <c r="K156" i="8"/>
  <c r="N156" i="8" s="1"/>
  <c r="Q156" i="8" s="1"/>
  <c r="T156" i="8" s="1"/>
  <c r="W156" i="8" s="1"/>
  <c r="Z156" i="8" s="1"/>
  <c r="AC156" i="8" s="1"/>
  <c r="AF156" i="8" s="1"/>
  <c r="AI156" i="8" s="1"/>
  <c r="K152" i="8"/>
  <c r="N152" i="8" s="1"/>
  <c r="Q152" i="8" s="1"/>
  <c r="T152" i="8" s="1"/>
  <c r="W152" i="8" s="1"/>
  <c r="Z152" i="8" s="1"/>
  <c r="AC152" i="8" s="1"/>
  <c r="AF152" i="8" s="1"/>
  <c r="AI152" i="8" s="1"/>
  <c r="K148" i="8"/>
  <c r="N148" i="8" s="1"/>
  <c r="Q148" i="8" s="1"/>
  <c r="T148" i="8" s="1"/>
  <c r="W148" i="8" s="1"/>
  <c r="Z148" i="8" s="1"/>
  <c r="AC148" i="8" s="1"/>
  <c r="AF148" i="8" s="1"/>
  <c r="AI148" i="8" s="1"/>
  <c r="K144" i="8"/>
  <c r="N144" i="8" s="1"/>
  <c r="Q144" i="8" s="1"/>
  <c r="T144" i="8" s="1"/>
  <c r="W144" i="8" s="1"/>
  <c r="Z144" i="8" s="1"/>
  <c r="AC144" i="8" s="1"/>
  <c r="AF144" i="8" s="1"/>
  <c r="AI144" i="8" s="1"/>
  <c r="K140" i="8"/>
  <c r="N140" i="8" s="1"/>
  <c r="Q140" i="8" s="1"/>
  <c r="T140" i="8" s="1"/>
  <c r="W140" i="8" s="1"/>
  <c r="Z140" i="8" s="1"/>
  <c r="AC140" i="8" s="1"/>
  <c r="AF140" i="8" s="1"/>
  <c r="AI140" i="8" s="1"/>
  <c r="K133" i="8"/>
  <c r="N133" i="8" s="1"/>
  <c r="Q133" i="8" s="1"/>
  <c r="T133" i="8" s="1"/>
  <c r="W133" i="8" s="1"/>
  <c r="Z133" i="8" s="1"/>
  <c r="AC133" i="8" s="1"/>
  <c r="AF133" i="8" s="1"/>
  <c r="AI133" i="8" s="1"/>
  <c r="K129" i="8"/>
  <c r="N129" i="8" s="1"/>
  <c r="Q129" i="8" s="1"/>
  <c r="T129" i="8" s="1"/>
  <c r="W129" i="8" s="1"/>
  <c r="Z129" i="8" s="1"/>
  <c r="AC129" i="8" s="1"/>
  <c r="AF129" i="8" s="1"/>
  <c r="AI129" i="8" s="1"/>
  <c r="K125" i="8"/>
  <c r="N125" i="8" s="1"/>
  <c r="Q125" i="8" s="1"/>
  <c r="T125" i="8" s="1"/>
  <c r="W125" i="8" s="1"/>
  <c r="Z125" i="8" s="1"/>
  <c r="AC125" i="8" s="1"/>
  <c r="AF125" i="8" s="1"/>
  <c r="AI125" i="8" s="1"/>
  <c r="K121" i="8"/>
  <c r="N121" i="8" s="1"/>
  <c r="Q121" i="8" s="1"/>
  <c r="T121" i="8" s="1"/>
  <c r="W121" i="8" s="1"/>
  <c r="Z121" i="8" s="1"/>
  <c r="AC121" i="8" s="1"/>
  <c r="AF121" i="8" s="1"/>
  <c r="AI121" i="8" s="1"/>
  <c r="K114" i="8"/>
  <c r="N114" i="8" s="1"/>
  <c r="Q114" i="8" s="1"/>
  <c r="T114" i="8" s="1"/>
  <c r="W114" i="8" s="1"/>
  <c r="Z114" i="8" s="1"/>
  <c r="AC114" i="8" s="1"/>
  <c r="AF114" i="8" s="1"/>
  <c r="AI114" i="8" s="1"/>
  <c r="K110" i="8"/>
  <c r="N110" i="8" s="1"/>
  <c r="Q110" i="8" s="1"/>
  <c r="T110" i="8" s="1"/>
  <c r="W110" i="8" s="1"/>
  <c r="Z110" i="8" s="1"/>
  <c r="AC110" i="8" s="1"/>
  <c r="AF110" i="8" s="1"/>
  <c r="AI110" i="8" s="1"/>
  <c r="K106" i="8"/>
  <c r="N106" i="8" s="1"/>
  <c r="Q106" i="8" s="1"/>
  <c r="T106" i="8" s="1"/>
  <c r="W106" i="8" s="1"/>
  <c r="Z106" i="8" s="1"/>
  <c r="AC106" i="8" s="1"/>
  <c r="AF106" i="8" s="1"/>
  <c r="AI106" i="8" s="1"/>
  <c r="K102" i="8"/>
  <c r="N102" i="8" s="1"/>
  <c r="Q102" i="8" s="1"/>
  <c r="T102" i="8" s="1"/>
  <c r="W102" i="8" s="1"/>
  <c r="Z102" i="8" s="1"/>
  <c r="AC102" i="8" s="1"/>
  <c r="AF102" i="8" s="1"/>
  <c r="AI102" i="8" s="1"/>
  <c r="K98" i="8"/>
  <c r="N98" i="8" s="1"/>
  <c r="Q98" i="8" s="1"/>
  <c r="T98" i="8" s="1"/>
  <c r="W98" i="8" s="1"/>
  <c r="Z98" i="8" s="1"/>
  <c r="AC98" i="8" s="1"/>
  <c r="AF98" i="8" s="1"/>
  <c r="AI98" i="8" s="1"/>
  <c r="K91" i="8"/>
  <c r="N91" i="8" s="1"/>
  <c r="Q91" i="8" s="1"/>
  <c r="T91" i="8" s="1"/>
  <c r="W91" i="8" s="1"/>
  <c r="Z91" i="8" s="1"/>
  <c r="AC91" i="8" s="1"/>
  <c r="AF91" i="8" s="1"/>
  <c r="AI91" i="8" s="1"/>
  <c r="K87" i="8"/>
  <c r="N87" i="8" s="1"/>
  <c r="Q87" i="8" s="1"/>
  <c r="T87" i="8" s="1"/>
  <c r="W87" i="8" s="1"/>
  <c r="Z87" i="8" s="1"/>
  <c r="AC87" i="8" s="1"/>
  <c r="AF87" i="8" s="1"/>
  <c r="AI87" i="8" s="1"/>
  <c r="K83" i="8"/>
  <c r="N83" i="8" s="1"/>
  <c r="Q83" i="8" s="1"/>
  <c r="T83" i="8" s="1"/>
  <c r="W83" i="8" s="1"/>
  <c r="Z83" i="8" s="1"/>
  <c r="AC83" i="8" s="1"/>
  <c r="AF83" i="8" s="1"/>
  <c r="AI83" i="8" s="1"/>
  <c r="K79" i="8"/>
  <c r="N79" i="8" s="1"/>
  <c r="Q79" i="8" s="1"/>
  <c r="T79" i="8" s="1"/>
  <c r="W79" i="8" s="1"/>
  <c r="Z79" i="8" s="1"/>
  <c r="AC79" i="8" s="1"/>
  <c r="AF79" i="8" s="1"/>
  <c r="AI79" i="8" s="1"/>
  <c r="K75" i="8"/>
  <c r="N75" i="8" s="1"/>
  <c r="Q75" i="8" s="1"/>
  <c r="T75" i="8" s="1"/>
  <c r="W75" i="8" s="1"/>
  <c r="Z75" i="8" s="1"/>
  <c r="AC75" i="8" s="1"/>
  <c r="AF75" i="8" s="1"/>
  <c r="AI75" i="8" s="1"/>
  <c r="K68" i="8"/>
  <c r="N68" i="8" s="1"/>
  <c r="Q68" i="8" s="1"/>
  <c r="T68" i="8" s="1"/>
  <c r="W68" i="8" s="1"/>
  <c r="Z68" i="8" s="1"/>
  <c r="AC68" i="8" s="1"/>
  <c r="AF68" i="8" s="1"/>
  <c r="AI68" i="8" s="1"/>
  <c r="K64" i="8"/>
  <c r="N64" i="8" s="1"/>
  <c r="Q64" i="8" s="1"/>
  <c r="T64" i="8" s="1"/>
  <c r="W64" i="8" s="1"/>
  <c r="Z64" i="8" s="1"/>
  <c r="AC64" i="8" s="1"/>
  <c r="AF64" i="8" s="1"/>
  <c r="AI64" i="8" s="1"/>
  <c r="K60" i="8"/>
  <c r="N60" i="8" s="1"/>
  <c r="Q60" i="8" s="1"/>
  <c r="T60" i="8" s="1"/>
  <c r="W60" i="8" s="1"/>
  <c r="Z60" i="8" s="1"/>
  <c r="AC60" i="8" s="1"/>
  <c r="AF60" i="8" s="1"/>
  <c r="AI60" i="8" s="1"/>
  <c r="K56" i="8"/>
  <c r="N56" i="8" s="1"/>
  <c r="Q56" i="8" s="1"/>
  <c r="T56" i="8" s="1"/>
  <c r="W56" i="8" s="1"/>
  <c r="Z56" i="8" s="1"/>
  <c r="AC56" i="8" s="1"/>
  <c r="AF56" i="8" s="1"/>
  <c r="AI56" i="8" s="1"/>
  <c r="K52" i="8"/>
  <c r="N52" i="8" s="1"/>
  <c r="Q52" i="8" s="1"/>
  <c r="T52" i="8" s="1"/>
  <c r="W52" i="8" s="1"/>
  <c r="Z52" i="8" s="1"/>
  <c r="AC52" i="8" s="1"/>
  <c r="AF52" i="8" s="1"/>
  <c r="AI52" i="8" s="1"/>
  <c r="K33" i="8"/>
  <c r="N33" i="8" s="1"/>
  <c r="Q33" i="8" s="1"/>
  <c r="T33" i="8" s="1"/>
  <c r="W33" i="8" s="1"/>
  <c r="Z33" i="8" s="1"/>
  <c r="AC33" i="8" s="1"/>
  <c r="AF33" i="8" s="1"/>
  <c r="AI33" i="8" s="1"/>
  <c r="K37" i="8"/>
  <c r="N37" i="8" s="1"/>
  <c r="Q37" i="8" s="1"/>
  <c r="T37" i="8" s="1"/>
  <c r="W37" i="8" s="1"/>
  <c r="Z37" i="8" s="1"/>
  <c r="AC37" i="8" s="1"/>
  <c r="AF37" i="8" s="1"/>
  <c r="AI37" i="8" s="1"/>
  <c r="K41" i="8"/>
  <c r="N41" i="8" s="1"/>
  <c r="Q41" i="8" s="1"/>
  <c r="T41" i="8" s="1"/>
  <c r="W41" i="8" s="1"/>
  <c r="Z41" i="8" s="1"/>
  <c r="AC41" i="8" s="1"/>
  <c r="AF41" i="8" s="1"/>
  <c r="AI41" i="8" s="1"/>
  <c r="K45" i="8"/>
  <c r="N45" i="8" s="1"/>
  <c r="Q45" i="8" s="1"/>
  <c r="T45" i="8" s="1"/>
  <c r="W45" i="8" s="1"/>
  <c r="Z45" i="8" s="1"/>
  <c r="AC45" i="8" s="1"/>
  <c r="AF45" i="8" s="1"/>
  <c r="AI45" i="8" s="1"/>
  <c r="L30" i="8"/>
  <c r="O30" i="8" s="1"/>
  <c r="R30" i="8" s="1"/>
  <c r="U30" i="8" s="1"/>
  <c r="X30" i="8" s="1"/>
  <c r="AA30" i="8" s="1"/>
  <c r="AD30" i="8" s="1"/>
  <c r="AG30" i="8" s="1"/>
  <c r="AJ30" i="8" s="1"/>
  <c r="L11" i="8"/>
  <c r="O11" i="8" s="1"/>
  <c r="R11" i="8" s="1"/>
  <c r="U11" i="8" s="1"/>
  <c r="X11" i="8" s="1"/>
  <c r="AA11" i="8" s="1"/>
  <c r="AD11" i="8" s="1"/>
  <c r="AG11" i="8" s="1"/>
  <c r="AJ11" i="8" s="1"/>
  <c r="L15" i="8"/>
  <c r="O15" i="8" s="1"/>
  <c r="R15" i="8" s="1"/>
  <c r="U15" i="8" s="1"/>
  <c r="X15" i="8" s="1"/>
  <c r="AA15" i="8" s="1"/>
  <c r="AD15" i="8" s="1"/>
  <c r="AG15" i="8" s="1"/>
  <c r="AJ15" i="8" s="1"/>
  <c r="L19" i="8"/>
  <c r="O19" i="8" s="1"/>
  <c r="R19" i="8" s="1"/>
  <c r="U19" i="8" s="1"/>
  <c r="X19" i="8" s="1"/>
  <c r="AA19" i="8" s="1"/>
  <c r="AD19" i="8" s="1"/>
  <c r="AG19" i="8" s="1"/>
  <c r="AJ19" i="8" s="1"/>
  <c r="L23" i="8"/>
  <c r="O23" i="8" s="1"/>
  <c r="R23" i="8" s="1"/>
  <c r="U23" i="8" s="1"/>
  <c r="X23" i="8" s="1"/>
  <c r="AA23" i="8" s="1"/>
  <c r="AD23" i="8" s="1"/>
  <c r="AG23" i="8" s="1"/>
  <c r="AJ23" i="8" s="1"/>
  <c r="J221" i="8"/>
  <c r="M221" i="8" s="1"/>
  <c r="P221" i="8" s="1"/>
  <c r="S221" i="8" s="1"/>
  <c r="V221" i="8" s="1"/>
  <c r="Y221" i="8" s="1"/>
  <c r="AB221" i="8" s="1"/>
  <c r="AE221" i="8" s="1"/>
  <c r="AH221" i="8" s="1"/>
  <c r="J217" i="8"/>
  <c r="M217" i="8" s="1"/>
  <c r="P217" i="8" s="1"/>
  <c r="S217" i="8" s="1"/>
  <c r="V217" i="8" s="1"/>
  <c r="Y217" i="8" s="1"/>
  <c r="AB217" i="8" s="1"/>
  <c r="AE217" i="8" s="1"/>
  <c r="AH217" i="8" s="1"/>
  <c r="J213" i="8"/>
  <c r="M213" i="8" s="1"/>
  <c r="P213" i="8" s="1"/>
  <c r="S213" i="8" s="1"/>
  <c r="V213" i="8" s="1"/>
  <c r="Y213" i="8" s="1"/>
  <c r="AB213" i="8" s="1"/>
  <c r="AE213" i="8" s="1"/>
  <c r="AH213" i="8" s="1"/>
  <c r="J209" i="8"/>
  <c r="M209" i="8" s="1"/>
  <c r="P209" i="8" s="1"/>
  <c r="S209" i="8" s="1"/>
  <c r="V209" i="8" s="1"/>
  <c r="Y209" i="8" s="1"/>
  <c r="AB209" i="8" s="1"/>
  <c r="AE209" i="8" s="1"/>
  <c r="AH209" i="8" s="1"/>
  <c r="J202" i="8"/>
  <c r="M202" i="8" s="1"/>
  <c r="P202" i="8" s="1"/>
  <c r="S202" i="8" s="1"/>
  <c r="V202" i="8" s="1"/>
  <c r="Y202" i="8" s="1"/>
  <c r="AB202" i="8" s="1"/>
  <c r="AE202" i="8" s="1"/>
  <c r="AH202" i="8" s="1"/>
  <c r="J198" i="8"/>
  <c r="M198" i="8" s="1"/>
  <c r="P198" i="8" s="1"/>
  <c r="S198" i="8" s="1"/>
  <c r="V198" i="8" s="1"/>
  <c r="Y198" i="8" s="1"/>
  <c r="AB198" i="8" s="1"/>
  <c r="AE198" i="8" s="1"/>
  <c r="AH198" i="8" s="1"/>
  <c r="J194" i="8"/>
  <c r="M194" i="8" s="1"/>
  <c r="P194" i="8" s="1"/>
  <c r="S194" i="8" s="1"/>
  <c r="V194" i="8" s="1"/>
  <c r="Y194" i="8" s="1"/>
  <c r="AB194" i="8" s="1"/>
  <c r="AE194" i="8" s="1"/>
  <c r="AH194" i="8" s="1"/>
  <c r="J190" i="8"/>
  <c r="M190" i="8" s="1"/>
  <c r="P190" i="8" s="1"/>
  <c r="S190" i="8" s="1"/>
  <c r="V190" i="8" s="1"/>
  <c r="Y190" i="8" s="1"/>
  <c r="AB190" i="8" s="1"/>
  <c r="AE190" i="8" s="1"/>
  <c r="AH190" i="8" s="1"/>
  <c r="L224" i="8"/>
  <c r="O224" i="8" s="1"/>
  <c r="R224" i="8" s="1"/>
  <c r="U224" i="8" s="1"/>
  <c r="X224" i="8" s="1"/>
  <c r="AA224" i="8" s="1"/>
  <c r="AD224" i="8" s="1"/>
  <c r="AG224" i="8" s="1"/>
  <c r="AJ224" i="8" s="1"/>
  <c r="L220" i="8"/>
  <c r="O220" i="8" s="1"/>
  <c r="R220" i="8" s="1"/>
  <c r="U220" i="8" s="1"/>
  <c r="X220" i="8" s="1"/>
  <c r="AA220" i="8" s="1"/>
  <c r="AD220" i="8" s="1"/>
  <c r="AG220" i="8" s="1"/>
  <c r="AJ220" i="8" s="1"/>
  <c r="L216" i="8"/>
  <c r="O216" i="8" s="1"/>
  <c r="R216" i="8" s="1"/>
  <c r="U216" i="8" s="1"/>
  <c r="X216" i="8" s="1"/>
  <c r="AA216" i="8" s="1"/>
  <c r="AD216" i="8" s="1"/>
  <c r="AG216" i="8" s="1"/>
  <c r="AJ216" i="8" s="1"/>
  <c r="L212" i="8"/>
  <c r="O212" i="8" s="1"/>
  <c r="R212" i="8" s="1"/>
  <c r="U212" i="8" s="1"/>
  <c r="X212" i="8" s="1"/>
  <c r="AA212" i="8" s="1"/>
  <c r="AD212" i="8" s="1"/>
  <c r="AG212" i="8" s="1"/>
  <c r="AJ212" i="8" s="1"/>
  <c r="L208" i="8"/>
  <c r="O208" i="8" s="1"/>
  <c r="R208" i="8" s="1"/>
  <c r="U208" i="8" s="1"/>
  <c r="X208" i="8" s="1"/>
  <c r="AA208" i="8" s="1"/>
  <c r="AD208" i="8" s="1"/>
  <c r="AG208" i="8" s="1"/>
  <c r="AJ208" i="8" s="1"/>
  <c r="L201" i="8"/>
  <c r="O201" i="8" s="1"/>
  <c r="R201" i="8" s="1"/>
  <c r="U201" i="8" s="1"/>
  <c r="X201" i="8" s="1"/>
  <c r="AA201" i="8" s="1"/>
  <c r="AD201" i="8" s="1"/>
  <c r="AG201" i="8" s="1"/>
  <c r="AJ201" i="8" s="1"/>
  <c r="L197" i="8"/>
  <c r="O197" i="8" s="1"/>
  <c r="R197" i="8" s="1"/>
  <c r="U197" i="8" s="1"/>
  <c r="X197" i="8" s="1"/>
  <c r="AA197" i="8" s="1"/>
  <c r="AD197" i="8" s="1"/>
  <c r="AG197" i="8" s="1"/>
  <c r="AJ197" i="8" s="1"/>
  <c r="L193" i="8"/>
  <c r="O193" i="8" s="1"/>
  <c r="R193" i="8" s="1"/>
  <c r="U193" i="8" s="1"/>
  <c r="X193" i="8" s="1"/>
  <c r="AA193" i="8" s="1"/>
  <c r="AD193" i="8" s="1"/>
  <c r="AG193" i="8" s="1"/>
  <c r="AJ193" i="8" s="1"/>
  <c r="L189" i="8"/>
  <c r="O189" i="8" s="1"/>
  <c r="R189" i="8" s="1"/>
  <c r="U189" i="8" s="1"/>
  <c r="X189" i="8" s="1"/>
  <c r="AA189" i="8" s="1"/>
  <c r="AD189" i="8" s="1"/>
  <c r="AG189" i="8" s="1"/>
  <c r="AJ189" i="8" s="1"/>
  <c r="L185" i="8"/>
  <c r="O185" i="8" s="1"/>
  <c r="R185" i="8" s="1"/>
  <c r="U185" i="8" s="1"/>
  <c r="X185" i="8" s="1"/>
  <c r="AA185" i="8" s="1"/>
  <c r="AD185" i="8" s="1"/>
  <c r="AG185" i="8" s="1"/>
  <c r="AJ185" i="8" s="1"/>
  <c r="L178" i="8"/>
  <c r="O178" i="8" s="1"/>
  <c r="R178" i="8" s="1"/>
  <c r="U178" i="8" s="1"/>
  <c r="X178" i="8" s="1"/>
  <c r="AA178" i="8" s="1"/>
  <c r="AD178" i="8" s="1"/>
  <c r="AG178" i="8" s="1"/>
  <c r="AJ178" i="8" s="1"/>
  <c r="L174" i="8"/>
  <c r="O174" i="8" s="1"/>
  <c r="R174" i="8" s="1"/>
  <c r="U174" i="8" s="1"/>
  <c r="X174" i="8" s="1"/>
  <c r="AA174" i="8" s="1"/>
  <c r="AD174" i="8" s="1"/>
  <c r="AG174" i="8" s="1"/>
  <c r="AJ174" i="8" s="1"/>
  <c r="L170" i="8"/>
  <c r="O170" i="8" s="1"/>
  <c r="R170" i="8" s="1"/>
  <c r="U170" i="8" s="1"/>
  <c r="X170" i="8" s="1"/>
  <c r="AA170" i="8" s="1"/>
  <c r="AD170" i="8" s="1"/>
  <c r="AG170" i="8" s="1"/>
  <c r="AJ170" i="8" s="1"/>
  <c r="L166" i="8"/>
  <c r="O166" i="8" s="1"/>
  <c r="R166" i="8" s="1"/>
  <c r="U166" i="8" s="1"/>
  <c r="X166" i="8" s="1"/>
  <c r="AA166" i="8" s="1"/>
  <c r="AD166" i="8" s="1"/>
  <c r="AG166" i="8" s="1"/>
  <c r="AJ166" i="8" s="1"/>
  <c r="L162" i="8"/>
  <c r="O162" i="8" s="1"/>
  <c r="R162" i="8" s="1"/>
  <c r="U162" i="8" s="1"/>
  <c r="X162" i="8" s="1"/>
  <c r="AA162" i="8" s="1"/>
  <c r="AD162" i="8" s="1"/>
  <c r="AG162" i="8" s="1"/>
  <c r="AJ162" i="8" s="1"/>
  <c r="L155" i="8"/>
  <c r="O155" i="8" s="1"/>
  <c r="R155" i="8" s="1"/>
  <c r="U155" i="8" s="1"/>
  <c r="X155" i="8" s="1"/>
  <c r="AA155" i="8" s="1"/>
  <c r="AD155" i="8" s="1"/>
  <c r="AG155" i="8" s="1"/>
  <c r="AJ155" i="8" s="1"/>
  <c r="L151" i="8"/>
  <c r="O151" i="8" s="1"/>
  <c r="R151" i="8" s="1"/>
  <c r="U151" i="8" s="1"/>
  <c r="X151" i="8" s="1"/>
  <c r="AA151" i="8" s="1"/>
  <c r="AD151" i="8" s="1"/>
  <c r="AG151" i="8" s="1"/>
  <c r="AJ151" i="8" s="1"/>
  <c r="L147" i="8"/>
  <c r="O147" i="8" s="1"/>
  <c r="R147" i="8" s="1"/>
  <c r="U147" i="8" s="1"/>
  <c r="X147" i="8" s="1"/>
  <c r="AA147" i="8" s="1"/>
  <c r="AD147" i="8" s="1"/>
  <c r="AG147" i="8" s="1"/>
  <c r="AJ147" i="8" s="1"/>
  <c r="L143" i="8"/>
  <c r="O143" i="8" s="1"/>
  <c r="R143" i="8" s="1"/>
  <c r="U143" i="8" s="1"/>
  <c r="X143" i="8" s="1"/>
  <c r="AA143" i="8" s="1"/>
  <c r="AD143" i="8" s="1"/>
  <c r="AG143" i="8" s="1"/>
  <c r="AJ143" i="8" s="1"/>
  <c r="L136" i="8"/>
  <c r="O136" i="8" s="1"/>
  <c r="R136" i="8" s="1"/>
  <c r="U136" i="8" s="1"/>
  <c r="X136" i="8" s="1"/>
  <c r="AA136" i="8" s="1"/>
  <c r="AD136" i="8" s="1"/>
  <c r="AG136" i="8" s="1"/>
  <c r="AJ136" i="8" s="1"/>
  <c r="L132" i="8"/>
  <c r="O132" i="8" s="1"/>
  <c r="R132" i="8" s="1"/>
  <c r="U132" i="8" s="1"/>
  <c r="X132" i="8" s="1"/>
  <c r="AA132" i="8" s="1"/>
  <c r="AD132" i="8" s="1"/>
  <c r="AG132" i="8" s="1"/>
  <c r="AJ132" i="8" s="1"/>
  <c r="L128" i="8"/>
  <c r="O128" i="8" s="1"/>
  <c r="R128" i="8" s="1"/>
  <c r="U128" i="8" s="1"/>
  <c r="X128" i="8" s="1"/>
  <c r="AA128" i="8" s="1"/>
  <c r="AD128" i="8" s="1"/>
  <c r="AG128" i="8" s="1"/>
  <c r="AJ128" i="8" s="1"/>
  <c r="L124" i="8"/>
  <c r="O124" i="8" s="1"/>
  <c r="R124" i="8" s="1"/>
  <c r="U124" i="8" s="1"/>
  <c r="X124" i="8" s="1"/>
  <c r="AA124" i="8" s="1"/>
  <c r="AD124" i="8" s="1"/>
  <c r="AG124" i="8" s="1"/>
  <c r="AJ124" i="8" s="1"/>
  <c r="L120" i="8"/>
  <c r="O120" i="8" s="1"/>
  <c r="R120" i="8" s="1"/>
  <c r="U120" i="8" s="1"/>
  <c r="X120" i="8" s="1"/>
  <c r="AA120" i="8" s="1"/>
  <c r="AD120" i="8" s="1"/>
  <c r="AG120" i="8" s="1"/>
  <c r="AJ120" i="8" s="1"/>
  <c r="L113" i="8"/>
  <c r="O113" i="8" s="1"/>
  <c r="R113" i="8" s="1"/>
  <c r="U113" i="8" s="1"/>
  <c r="X113" i="8" s="1"/>
  <c r="AA113" i="8" s="1"/>
  <c r="AD113" i="8" s="1"/>
  <c r="AG113" i="8" s="1"/>
  <c r="AJ113" i="8" s="1"/>
  <c r="L109" i="8"/>
  <c r="O109" i="8" s="1"/>
  <c r="R109" i="8" s="1"/>
  <c r="U109" i="8" s="1"/>
  <c r="X109" i="8" s="1"/>
  <c r="AA109" i="8" s="1"/>
  <c r="AD109" i="8" s="1"/>
  <c r="AG109" i="8" s="1"/>
  <c r="AJ109" i="8" s="1"/>
  <c r="L105" i="8"/>
  <c r="O105" i="8" s="1"/>
  <c r="R105" i="8" s="1"/>
  <c r="U105" i="8" s="1"/>
  <c r="X105" i="8" s="1"/>
  <c r="AA105" i="8" s="1"/>
  <c r="AD105" i="8" s="1"/>
  <c r="AG105" i="8" s="1"/>
  <c r="AJ105" i="8" s="1"/>
  <c r="L101" i="8"/>
  <c r="O101" i="8" s="1"/>
  <c r="R101" i="8" s="1"/>
  <c r="U101" i="8" s="1"/>
  <c r="X101" i="8" s="1"/>
  <c r="AA101" i="8" s="1"/>
  <c r="AD101" i="8" s="1"/>
  <c r="AG101" i="8" s="1"/>
  <c r="AJ101" i="8" s="1"/>
  <c r="L97" i="8"/>
  <c r="O97" i="8" s="1"/>
  <c r="R97" i="8" s="1"/>
  <c r="U97" i="8" s="1"/>
  <c r="X97" i="8" s="1"/>
  <c r="AA97" i="8" s="1"/>
  <c r="AD97" i="8" s="1"/>
  <c r="AG97" i="8" s="1"/>
  <c r="AJ97" i="8" s="1"/>
  <c r="L90" i="8"/>
  <c r="O90" i="8" s="1"/>
  <c r="R90" i="8" s="1"/>
  <c r="U90" i="8" s="1"/>
  <c r="X90" i="8" s="1"/>
  <c r="AA90" i="8" s="1"/>
  <c r="AD90" i="8" s="1"/>
  <c r="AG90" i="8" s="1"/>
  <c r="AJ90" i="8" s="1"/>
  <c r="L86" i="8"/>
  <c r="O86" i="8" s="1"/>
  <c r="R86" i="8" s="1"/>
  <c r="U86" i="8" s="1"/>
  <c r="X86" i="8" s="1"/>
  <c r="AA86" i="8" s="1"/>
  <c r="AD86" i="8" s="1"/>
  <c r="AG86" i="8" s="1"/>
  <c r="AJ86" i="8" s="1"/>
  <c r="L82" i="8"/>
  <c r="O82" i="8" s="1"/>
  <c r="R82" i="8" s="1"/>
  <c r="U82" i="8" s="1"/>
  <c r="X82" i="8" s="1"/>
  <c r="AA82" i="8" s="1"/>
  <c r="AD82" i="8" s="1"/>
  <c r="AG82" i="8" s="1"/>
  <c r="AJ82" i="8" s="1"/>
  <c r="L78" i="8"/>
  <c r="O78" i="8" s="1"/>
  <c r="R78" i="8" s="1"/>
  <c r="U78" i="8" s="1"/>
  <c r="X78" i="8" s="1"/>
  <c r="AA78" i="8" s="1"/>
  <c r="AD78" i="8" s="1"/>
  <c r="AG78" i="8" s="1"/>
  <c r="AJ78" i="8" s="1"/>
  <c r="L74" i="8"/>
  <c r="O74" i="8" s="1"/>
  <c r="R74" i="8" s="1"/>
  <c r="U74" i="8" s="1"/>
  <c r="X74" i="8" s="1"/>
  <c r="AA74" i="8" s="1"/>
  <c r="AD74" i="8" s="1"/>
  <c r="AG74" i="8" s="1"/>
  <c r="AJ74" i="8" s="1"/>
  <c r="L67" i="8"/>
  <c r="O67" i="8" s="1"/>
  <c r="R67" i="8" s="1"/>
  <c r="U67" i="8" s="1"/>
  <c r="X67" i="8" s="1"/>
  <c r="AA67" i="8" s="1"/>
  <c r="AD67" i="8" s="1"/>
  <c r="AG67" i="8" s="1"/>
  <c r="AJ67" i="8" s="1"/>
  <c r="L63" i="8"/>
  <c r="O63" i="8" s="1"/>
  <c r="R63" i="8" s="1"/>
  <c r="U63" i="8" s="1"/>
  <c r="X63" i="8" s="1"/>
  <c r="AA63" i="8" s="1"/>
  <c r="AD63" i="8" s="1"/>
  <c r="AG63" i="8" s="1"/>
  <c r="AJ63" i="8" s="1"/>
  <c r="L59" i="8"/>
  <c r="O59" i="8" s="1"/>
  <c r="R59" i="8" s="1"/>
  <c r="U59" i="8" s="1"/>
  <c r="X59" i="8" s="1"/>
  <c r="AA59" i="8" s="1"/>
  <c r="AD59" i="8" s="1"/>
  <c r="AG59" i="8" s="1"/>
  <c r="AJ59" i="8" s="1"/>
  <c r="L55" i="8"/>
  <c r="O55" i="8" s="1"/>
  <c r="R55" i="8" s="1"/>
  <c r="U55" i="8" s="1"/>
  <c r="X55" i="8" s="1"/>
  <c r="AA55" i="8" s="1"/>
  <c r="AD55" i="8" s="1"/>
  <c r="AG55" i="8" s="1"/>
  <c r="AJ55" i="8" s="1"/>
  <c r="J34" i="8"/>
  <c r="M34" i="8" s="1"/>
  <c r="P34" i="8" s="1"/>
  <c r="S34" i="8" s="1"/>
  <c r="V34" i="8" s="1"/>
  <c r="Y34" i="8" s="1"/>
  <c r="AB34" i="8" s="1"/>
  <c r="AE34" i="8" s="1"/>
  <c r="AH34" i="8" s="1"/>
  <c r="J38" i="8"/>
  <c r="M38" i="8" s="1"/>
  <c r="P38" i="8" s="1"/>
  <c r="S38" i="8" s="1"/>
  <c r="V38" i="8" s="1"/>
  <c r="Y38" i="8" s="1"/>
  <c r="AB38" i="8" s="1"/>
  <c r="AE38" i="8" s="1"/>
  <c r="AH38" i="8" s="1"/>
  <c r="J42" i="8"/>
  <c r="M42" i="8" s="1"/>
  <c r="P42" i="8" s="1"/>
  <c r="S42" i="8" s="1"/>
  <c r="V42" i="8" s="1"/>
  <c r="Y42" i="8" s="1"/>
  <c r="AB42" i="8" s="1"/>
  <c r="AE42" i="8" s="1"/>
  <c r="AH42" i="8" s="1"/>
  <c r="J46" i="8"/>
  <c r="M46" i="8" s="1"/>
  <c r="P46" i="8" s="1"/>
  <c r="S46" i="8" s="1"/>
  <c r="V46" i="8" s="1"/>
  <c r="Y46" i="8" s="1"/>
  <c r="AB46" i="8" s="1"/>
  <c r="AE46" i="8" s="1"/>
  <c r="AH46" i="8" s="1"/>
  <c r="L8" i="8"/>
  <c r="O8" i="8" s="1"/>
  <c r="K12" i="8"/>
  <c r="N12" i="8" s="1"/>
  <c r="Q12" i="8" s="1"/>
  <c r="T12" i="8" s="1"/>
  <c r="W12" i="8" s="1"/>
  <c r="Z12" i="8" s="1"/>
  <c r="AC12" i="8" s="1"/>
  <c r="AF12" i="8" s="1"/>
  <c r="AI12" i="8" s="1"/>
  <c r="K16" i="8"/>
  <c r="N16" i="8" s="1"/>
  <c r="Q16" i="8" s="1"/>
  <c r="T16" i="8" s="1"/>
  <c r="W16" i="8" s="1"/>
  <c r="Z16" i="8" s="1"/>
  <c r="AC16" i="8" s="1"/>
  <c r="AF16" i="8" s="1"/>
  <c r="AI16" i="8" s="1"/>
  <c r="K20" i="8"/>
  <c r="N20" i="8" s="1"/>
  <c r="Q20" i="8" s="1"/>
  <c r="T20" i="8" s="1"/>
  <c r="W20" i="8" s="1"/>
  <c r="Z20" i="8" s="1"/>
  <c r="AC20" i="8" s="1"/>
  <c r="AF20" i="8" s="1"/>
  <c r="AI20" i="8" s="1"/>
  <c r="K24" i="8"/>
  <c r="N24" i="8" s="1"/>
  <c r="Q24" i="8" s="1"/>
  <c r="T24" i="8" s="1"/>
  <c r="W24" i="8" s="1"/>
  <c r="Z24" i="8" s="1"/>
  <c r="AC24" i="8" s="1"/>
  <c r="AF24" i="8" s="1"/>
  <c r="AI24" i="8" s="1"/>
  <c r="L219" i="8"/>
  <c r="O219" i="8" s="1"/>
  <c r="R219" i="8" s="1"/>
  <c r="U219" i="8" s="1"/>
  <c r="X219" i="8" s="1"/>
  <c r="AA219" i="8" s="1"/>
  <c r="AD219" i="8" s="1"/>
  <c r="AG219" i="8" s="1"/>
  <c r="AJ219" i="8" s="1"/>
  <c r="L200" i="8"/>
  <c r="O200" i="8" s="1"/>
  <c r="R200" i="8" s="1"/>
  <c r="U200" i="8" s="1"/>
  <c r="X200" i="8" s="1"/>
  <c r="AA200" i="8" s="1"/>
  <c r="AD200" i="8" s="1"/>
  <c r="AG200" i="8" s="1"/>
  <c r="AJ200" i="8" s="1"/>
  <c r="L184" i="8"/>
  <c r="O184" i="8" s="1"/>
  <c r="R184" i="8" s="1"/>
  <c r="U184" i="8" s="1"/>
  <c r="X184" i="8" s="1"/>
  <c r="AA184" i="8" s="1"/>
  <c r="AD184" i="8" s="1"/>
  <c r="AG184" i="8" s="1"/>
  <c r="AJ184" i="8" s="1"/>
  <c r="L169" i="8"/>
  <c r="O169" i="8" s="1"/>
  <c r="R169" i="8" s="1"/>
  <c r="U169" i="8" s="1"/>
  <c r="X169" i="8" s="1"/>
  <c r="AA169" i="8" s="1"/>
  <c r="AD169" i="8" s="1"/>
  <c r="AG169" i="8" s="1"/>
  <c r="AJ169" i="8" s="1"/>
  <c r="L154" i="8"/>
  <c r="O154" i="8" s="1"/>
  <c r="R154" i="8" s="1"/>
  <c r="U154" i="8" s="1"/>
  <c r="X154" i="8" s="1"/>
  <c r="AA154" i="8" s="1"/>
  <c r="AD154" i="8" s="1"/>
  <c r="AG154" i="8" s="1"/>
  <c r="AJ154" i="8" s="1"/>
  <c r="L146" i="8"/>
  <c r="O146" i="8" s="1"/>
  <c r="R146" i="8" s="1"/>
  <c r="U146" i="8" s="1"/>
  <c r="X146" i="8" s="1"/>
  <c r="AA146" i="8" s="1"/>
  <c r="AD146" i="8" s="1"/>
  <c r="AG146" i="8" s="1"/>
  <c r="AJ146" i="8" s="1"/>
  <c r="L131" i="8"/>
  <c r="O131" i="8" s="1"/>
  <c r="R131" i="8" s="1"/>
  <c r="U131" i="8" s="1"/>
  <c r="X131" i="8" s="1"/>
  <c r="AA131" i="8" s="1"/>
  <c r="AD131" i="8" s="1"/>
  <c r="AG131" i="8" s="1"/>
  <c r="AJ131" i="8" s="1"/>
  <c r="L123" i="8"/>
  <c r="O123" i="8" s="1"/>
  <c r="R123" i="8" s="1"/>
  <c r="U123" i="8" s="1"/>
  <c r="X123" i="8" s="1"/>
  <c r="AA123" i="8" s="1"/>
  <c r="AD123" i="8" s="1"/>
  <c r="AG123" i="8" s="1"/>
  <c r="AJ123" i="8" s="1"/>
  <c r="L112" i="8"/>
  <c r="O112" i="8" s="1"/>
  <c r="R112" i="8" s="1"/>
  <c r="U112" i="8" s="1"/>
  <c r="X112" i="8" s="1"/>
  <c r="AA112" i="8" s="1"/>
  <c r="AD112" i="8" s="1"/>
  <c r="AG112" i="8" s="1"/>
  <c r="AJ112" i="8" s="1"/>
  <c r="K224" i="8"/>
  <c r="N224" i="8" s="1"/>
  <c r="Q224" i="8" s="1"/>
  <c r="T224" i="8" s="1"/>
  <c r="W224" i="8" s="1"/>
  <c r="Z224" i="8" s="1"/>
  <c r="AC224" i="8" s="1"/>
  <c r="AF224" i="8" s="1"/>
  <c r="AI224" i="8" s="1"/>
  <c r="K220" i="8"/>
  <c r="N220" i="8" s="1"/>
  <c r="Q220" i="8" s="1"/>
  <c r="T220" i="8" s="1"/>
  <c r="W220" i="8" s="1"/>
  <c r="Z220" i="8" s="1"/>
  <c r="AC220" i="8" s="1"/>
  <c r="AF220" i="8" s="1"/>
  <c r="AI220" i="8" s="1"/>
  <c r="K216" i="8"/>
  <c r="N216" i="8" s="1"/>
  <c r="Q216" i="8" s="1"/>
  <c r="T216" i="8" s="1"/>
  <c r="W216" i="8" s="1"/>
  <c r="Z216" i="8" s="1"/>
  <c r="AC216" i="8" s="1"/>
  <c r="AF216" i="8" s="1"/>
  <c r="AI216" i="8" s="1"/>
  <c r="K212" i="8"/>
  <c r="N212" i="8" s="1"/>
  <c r="Q212" i="8" s="1"/>
  <c r="T212" i="8" s="1"/>
  <c r="W212" i="8" s="1"/>
  <c r="Z212" i="8" s="1"/>
  <c r="AC212" i="8" s="1"/>
  <c r="AF212" i="8" s="1"/>
  <c r="AI212" i="8" s="1"/>
  <c r="K208" i="8"/>
  <c r="N208" i="8" s="1"/>
  <c r="Q208" i="8" s="1"/>
  <c r="T208" i="8" s="1"/>
  <c r="W208" i="8" s="1"/>
  <c r="Z208" i="8" s="1"/>
  <c r="AC208" i="8" s="1"/>
  <c r="AF208" i="8" s="1"/>
  <c r="AI208" i="8" s="1"/>
  <c r="K201" i="8"/>
  <c r="N201" i="8" s="1"/>
  <c r="Q201" i="8" s="1"/>
  <c r="T201" i="8" s="1"/>
  <c r="W201" i="8" s="1"/>
  <c r="Z201" i="8" s="1"/>
  <c r="AC201" i="8" s="1"/>
  <c r="AF201" i="8" s="1"/>
  <c r="AI201" i="8" s="1"/>
  <c r="K197" i="8"/>
  <c r="N197" i="8" s="1"/>
  <c r="Q197" i="8" s="1"/>
  <c r="T197" i="8" s="1"/>
  <c r="W197" i="8" s="1"/>
  <c r="Z197" i="8" s="1"/>
  <c r="AC197" i="8" s="1"/>
  <c r="AF197" i="8" s="1"/>
  <c r="AI197" i="8" s="1"/>
  <c r="K193" i="8"/>
  <c r="N193" i="8" s="1"/>
  <c r="Q193" i="8" s="1"/>
  <c r="T193" i="8" s="1"/>
  <c r="W193" i="8" s="1"/>
  <c r="Z193" i="8" s="1"/>
  <c r="AC193" i="8" s="1"/>
  <c r="AF193" i="8" s="1"/>
  <c r="AI193" i="8" s="1"/>
  <c r="K189" i="8"/>
  <c r="N189" i="8" s="1"/>
  <c r="Q189" i="8" s="1"/>
  <c r="T189" i="8" s="1"/>
  <c r="W189" i="8" s="1"/>
  <c r="Z189" i="8" s="1"/>
  <c r="AC189" i="8" s="1"/>
  <c r="AF189" i="8" s="1"/>
  <c r="AI189" i="8" s="1"/>
  <c r="K185" i="8"/>
  <c r="N185" i="8" s="1"/>
  <c r="Q185" i="8" s="1"/>
  <c r="T185" i="8" s="1"/>
  <c r="W185" i="8" s="1"/>
  <c r="Z185" i="8" s="1"/>
  <c r="AC185" i="8" s="1"/>
  <c r="AF185" i="8" s="1"/>
  <c r="AI185" i="8" s="1"/>
  <c r="K178" i="8"/>
  <c r="N178" i="8" s="1"/>
  <c r="Q178" i="8" s="1"/>
  <c r="T178" i="8" s="1"/>
  <c r="W178" i="8" s="1"/>
  <c r="Z178" i="8" s="1"/>
  <c r="AC178" i="8" s="1"/>
  <c r="AF178" i="8" s="1"/>
  <c r="AI178" i="8" s="1"/>
  <c r="K174" i="8"/>
  <c r="N174" i="8" s="1"/>
  <c r="Q174" i="8" s="1"/>
  <c r="T174" i="8" s="1"/>
  <c r="W174" i="8" s="1"/>
  <c r="Z174" i="8" s="1"/>
  <c r="AC174" i="8" s="1"/>
  <c r="AF174" i="8" s="1"/>
  <c r="AI174" i="8" s="1"/>
  <c r="K170" i="8"/>
  <c r="N170" i="8" s="1"/>
  <c r="Q170" i="8" s="1"/>
  <c r="T170" i="8" s="1"/>
  <c r="W170" i="8" s="1"/>
  <c r="Z170" i="8" s="1"/>
  <c r="AC170" i="8" s="1"/>
  <c r="AF170" i="8" s="1"/>
  <c r="AI170" i="8" s="1"/>
  <c r="K166" i="8"/>
  <c r="N166" i="8" s="1"/>
  <c r="Q166" i="8" s="1"/>
  <c r="T166" i="8" s="1"/>
  <c r="W166" i="8" s="1"/>
  <c r="Z166" i="8" s="1"/>
  <c r="AC166" i="8" s="1"/>
  <c r="AF166" i="8" s="1"/>
  <c r="AI166" i="8" s="1"/>
  <c r="K162" i="8"/>
  <c r="N162" i="8" s="1"/>
  <c r="Q162" i="8" s="1"/>
  <c r="T162" i="8" s="1"/>
  <c r="W162" i="8" s="1"/>
  <c r="Z162" i="8" s="1"/>
  <c r="AC162" i="8" s="1"/>
  <c r="AF162" i="8" s="1"/>
  <c r="AI162" i="8" s="1"/>
  <c r="K155" i="8"/>
  <c r="N155" i="8" s="1"/>
  <c r="Q155" i="8" s="1"/>
  <c r="T155" i="8" s="1"/>
  <c r="W155" i="8" s="1"/>
  <c r="Z155" i="8" s="1"/>
  <c r="AC155" i="8" s="1"/>
  <c r="AF155" i="8" s="1"/>
  <c r="AI155" i="8" s="1"/>
  <c r="K151" i="8"/>
  <c r="N151" i="8" s="1"/>
  <c r="Q151" i="8" s="1"/>
  <c r="T151" i="8" s="1"/>
  <c r="W151" i="8" s="1"/>
  <c r="Z151" i="8" s="1"/>
  <c r="AC151" i="8" s="1"/>
  <c r="AF151" i="8" s="1"/>
  <c r="AI151" i="8" s="1"/>
  <c r="K147" i="8"/>
  <c r="N147" i="8" s="1"/>
  <c r="Q147" i="8" s="1"/>
  <c r="T147" i="8" s="1"/>
  <c r="W147" i="8" s="1"/>
  <c r="Z147" i="8" s="1"/>
  <c r="AC147" i="8" s="1"/>
  <c r="AF147" i="8" s="1"/>
  <c r="AI147" i="8" s="1"/>
  <c r="K143" i="8"/>
  <c r="N143" i="8" s="1"/>
  <c r="Q143" i="8" s="1"/>
  <c r="T143" i="8" s="1"/>
  <c r="W143" i="8" s="1"/>
  <c r="Z143" i="8" s="1"/>
  <c r="AC143" i="8" s="1"/>
  <c r="AF143" i="8" s="1"/>
  <c r="AI143" i="8" s="1"/>
  <c r="K136" i="8"/>
  <c r="N136" i="8" s="1"/>
  <c r="Q136" i="8" s="1"/>
  <c r="T136" i="8" s="1"/>
  <c r="W136" i="8" s="1"/>
  <c r="Z136" i="8" s="1"/>
  <c r="AC136" i="8" s="1"/>
  <c r="AF136" i="8" s="1"/>
  <c r="AI136" i="8" s="1"/>
  <c r="K132" i="8"/>
  <c r="N132" i="8" s="1"/>
  <c r="Q132" i="8" s="1"/>
  <c r="T132" i="8" s="1"/>
  <c r="W132" i="8" s="1"/>
  <c r="Z132" i="8" s="1"/>
  <c r="AC132" i="8" s="1"/>
  <c r="AF132" i="8" s="1"/>
  <c r="AI132" i="8" s="1"/>
  <c r="K128" i="8"/>
  <c r="N128" i="8" s="1"/>
  <c r="Q128" i="8" s="1"/>
  <c r="T128" i="8" s="1"/>
  <c r="W128" i="8" s="1"/>
  <c r="Z128" i="8" s="1"/>
  <c r="AC128" i="8" s="1"/>
  <c r="AF128" i="8" s="1"/>
  <c r="AI128" i="8" s="1"/>
  <c r="K124" i="8"/>
  <c r="N124" i="8" s="1"/>
  <c r="Q124" i="8" s="1"/>
  <c r="T124" i="8" s="1"/>
  <c r="W124" i="8" s="1"/>
  <c r="Z124" i="8" s="1"/>
  <c r="AC124" i="8" s="1"/>
  <c r="AF124" i="8" s="1"/>
  <c r="AI124" i="8" s="1"/>
  <c r="K120" i="8"/>
  <c r="N120" i="8" s="1"/>
  <c r="Q120" i="8" s="1"/>
  <c r="T120" i="8" s="1"/>
  <c r="W120" i="8" s="1"/>
  <c r="Z120" i="8" s="1"/>
  <c r="AC120" i="8" s="1"/>
  <c r="AF120" i="8" s="1"/>
  <c r="AI120" i="8" s="1"/>
  <c r="K113" i="8"/>
  <c r="N113" i="8" s="1"/>
  <c r="Q113" i="8" s="1"/>
  <c r="T113" i="8" s="1"/>
  <c r="W113" i="8" s="1"/>
  <c r="Z113" i="8" s="1"/>
  <c r="AC113" i="8" s="1"/>
  <c r="AF113" i="8" s="1"/>
  <c r="AI113" i="8" s="1"/>
  <c r="K109" i="8"/>
  <c r="N109" i="8" s="1"/>
  <c r="Q109" i="8" s="1"/>
  <c r="T109" i="8" s="1"/>
  <c r="W109" i="8" s="1"/>
  <c r="Z109" i="8" s="1"/>
  <c r="AC109" i="8" s="1"/>
  <c r="AF109" i="8" s="1"/>
  <c r="AI109" i="8" s="1"/>
  <c r="K105" i="8"/>
  <c r="N105" i="8" s="1"/>
  <c r="Q105" i="8" s="1"/>
  <c r="T105" i="8" s="1"/>
  <c r="W105" i="8" s="1"/>
  <c r="Z105" i="8" s="1"/>
  <c r="AC105" i="8" s="1"/>
  <c r="AF105" i="8" s="1"/>
  <c r="AI105" i="8" s="1"/>
  <c r="K101" i="8"/>
  <c r="N101" i="8" s="1"/>
  <c r="Q101" i="8" s="1"/>
  <c r="T101" i="8" s="1"/>
  <c r="W101" i="8" s="1"/>
  <c r="Z101" i="8" s="1"/>
  <c r="AC101" i="8" s="1"/>
  <c r="AF101" i="8" s="1"/>
  <c r="AI101" i="8" s="1"/>
  <c r="K97" i="8"/>
  <c r="N97" i="8" s="1"/>
  <c r="Q97" i="8" s="1"/>
  <c r="T97" i="8" s="1"/>
  <c r="W97" i="8" s="1"/>
  <c r="Z97" i="8" s="1"/>
  <c r="AC97" i="8" s="1"/>
  <c r="AF97" i="8" s="1"/>
  <c r="AI97" i="8" s="1"/>
  <c r="K90" i="8"/>
  <c r="N90" i="8" s="1"/>
  <c r="Q90" i="8" s="1"/>
  <c r="T90" i="8" s="1"/>
  <c r="W90" i="8" s="1"/>
  <c r="Z90" i="8" s="1"/>
  <c r="AC90" i="8" s="1"/>
  <c r="AF90" i="8" s="1"/>
  <c r="AI90" i="8" s="1"/>
  <c r="K86" i="8"/>
  <c r="N86" i="8" s="1"/>
  <c r="Q86" i="8" s="1"/>
  <c r="T86" i="8" s="1"/>
  <c r="W86" i="8" s="1"/>
  <c r="Z86" i="8" s="1"/>
  <c r="AC86" i="8" s="1"/>
  <c r="AF86" i="8" s="1"/>
  <c r="AI86" i="8" s="1"/>
  <c r="K82" i="8"/>
  <c r="N82" i="8" s="1"/>
  <c r="Q82" i="8" s="1"/>
  <c r="T82" i="8" s="1"/>
  <c r="W82" i="8" s="1"/>
  <c r="Z82" i="8" s="1"/>
  <c r="AC82" i="8" s="1"/>
  <c r="AF82" i="8" s="1"/>
  <c r="AI82" i="8" s="1"/>
  <c r="K78" i="8"/>
  <c r="N78" i="8" s="1"/>
  <c r="Q78" i="8" s="1"/>
  <c r="T78" i="8" s="1"/>
  <c r="W78" i="8" s="1"/>
  <c r="Z78" i="8" s="1"/>
  <c r="AC78" i="8" s="1"/>
  <c r="AF78" i="8" s="1"/>
  <c r="AI78" i="8" s="1"/>
  <c r="K74" i="8"/>
  <c r="N74" i="8" s="1"/>
  <c r="Q74" i="8" s="1"/>
  <c r="T74" i="8" s="1"/>
  <c r="W74" i="8" s="1"/>
  <c r="Z74" i="8" s="1"/>
  <c r="AC74" i="8" s="1"/>
  <c r="AF74" i="8" s="1"/>
  <c r="AI74" i="8" s="1"/>
  <c r="K67" i="8"/>
  <c r="N67" i="8" s="1"/>
  <c r="Q67" i="8" s="1"/>
  <c r="T67" i="8" s="1"/>
  <c r="W67" i="8" s="1"/>
  <c r="Z67" i="8" s="1"/>
  <c r="AC67" i="8" s="1"/>
  <c r="AF67" i="8" s="1"/>
  <c r="AI67" i="8" s="1"/>
  <c r="K63" i="8"/>
  <c r="N63" i="8" s="1"/>
  <c r="Q63" i="8" s="1"/>
  <c r="T63" i="8" s="1"/>
  <c r="W63" i="8" s="1"/>
  <c r="Z63" i="8" s="1"/>
  <c r="AC63" i="8" s="1"/>
  <c r="AF63" i="8" s="1"/>
  <c r="AI63" i="8" s="1"/>
  <c r="K59" i="8"/>
  <c r="N59" i="8" s="1"/>
  <c r="Q59" i="8" s="1"/>
  <c r="T59" i="8" s="1"/>
  <c r="W59" i="8" s="1"/>
  <c r="Z59" i="8" s="1"/>
  <c r="AC59" i="8" s="1"/>
  <c r="AF59" i="8" s="1"/>
  <c r="AI59" i="8" s="1"/>
  <c r="K55" i="8"/>
  <c r="N55" i="8" s="1"/>
  <c r="Q55" i="8" s="1"/>
  <c r="T55" i="8" s="1"/>
  <c r="W55" i="8" s="1"/>
  <c r="Z55" i="8" s="1"/>
  <c r="AC55" i="8" s="1"/>
  <c r="AF55" i="8" s="1"/>
  <c r="AI55" i="8" s="1"/>
  <c r="K34" i="8"/>
  <c r="N34" i="8" s="1"/>
  <c r="Q34" i="8" s="1"/>
  <c r="T34" i="8" s="1"/>
  <c r="W34" i="8" s="1"/>
  <c r="Z34" i="8" s="1"/>
  <c r="AC34" i="8" s="1"/>
  <c r="AF34" i="8" s="1"/>
  <c r="AI34" i="8" s="1"/>
  <c r="K38" i="8"/>
  <c r="N38" i="8" s="1"/>
  <c r="Q38" i="8" s="1"/>
  <c r="T38" i="8" s="1"/>
  <c r="W38" i="8" s="1"/>
  <c r="Z38" i="8" s="1"/>
  <c r="AC38" i="8" s="1"/>
  <c r="AF38" i="8" s="1"/>
  <c r="AI38" i="8" s="1"/>
  <c r="K42" i="8"/>
  <c r="N42" i="8" s="1"/>
  <c r="Q42" i="8" s="1"/>
  <c r="T42" i="8" s="1"/>
  <c r="W42" i="8" s="1"/>
  <c r="Z42" i="8" s="1"/>
  <c r="AC42" i="8" s="1"/>
  <c r="AF42" i="8" s="1"/>
  <c r="AI42" i="8" s="1"/>
  <c r="K46" i="8"/>
  <c r="N46" i="8" s="1"/>
  <c r="Q46" i="8" s="1"/>
  <c r="T46" i="8" s="1"/>
  <c r="W46" i="8" s="1"/>
  <c r="Z46" i="8" s="1"/>
  <c r="AC46" i="8" s="1"/>
  <c r="AF46" i="8" s="1"/>
  <c r="AI46" i="8" s="1"/>
  <c r="J8" i="8"/>
  <c r="M8" i="8" s="1"/>
  <c r="L12" i="8"/>
  <c r="O12" i="8" s="1"/>
  <c r="R12" i="8" s="1"/>
  <c r="U12" i="8" s="1"/>
  <c r="X12" i="8" s="1"/>
  <c r="AA12" i="8" s="1"/>
  <c r="AD12" i="8" s="1"/>
  <c r="AG12" i="8" s="1"/>
  <c r="AJ12" i="8" s="1"/>
  <c r="L16" i="8"/>
  <c r="O16" i="8" s="1"/>
  <c r="R16" i="8" s="1"/>
  <c r="U16" i="8" s="1"/>
  <c r="X16" i="8" s="1"/>
  <c r="AA16" i="8" s="1"/>
  <c r="AD16" i="8" s="1"/>
  <c r="AG16" i="8" s="1"/>
  <c r="AJ16" i="8" s="1"/>
  <c r="L20" i="8"/>
  <c r="O20" i="8" s="1"/>
  <c r="R20" i="8" s="1"/>
  <c r="U20" i="8" s="1"/>
  <c r="X20" i="8" s="1"/>
  <c r="AA20" i="8" s="1"/>
  <c r="AD20" i="8" s="1"/>
  <c r="AG20" i="8" s="1"/>
  <c r="AJ20" i="8" s="1"/>
  <c r="L24" i="8"/>
  <c r="O24" i="8" s="1"/>
  <c r="R24" i="8" s="1"/>
  <c r="U24" i="8" s="1"/>
  <c r="X24" i="8" s="1"/>
  <c r="AA24" i="8" s="1"/>
  <c r="AD24" i="8" s="1"/>
  <c r="AG24" i="8" s="1"/>
  <c r="AJ24" i="8" s="1"/>
  <c r="L223" i="8"/>
  <c r="O223" i="8" s="1"/>
  <c r="R223" i="8" s="1"/>
  <c r="U223" i="8" s="1"/>
  <c r="X223" i="8" s="1"/>
  <c r="AA223" i="8" s="1"/>
  <c r="AD223" i="8" s="1"/>
  <c r="AG223" i="8" s="1"/>
  <c r="AJ223" i="8" s="1"/>
  <c r="L211" i="8"/>
  <c r="O211" i="8" s="1"/>
  <c r="R211" i="8" s="1"/>
  <c r="U211" i="8" s="1"/>
  <c r="X211" i="8" s="1"/>
  <c r="AA211" i="8" s="1"/>
  <c r="AD211" i="8" s="1"/>
  <c r="AG211" i="8" s="1"/>
  <c r="AJ211" i="8" s="1"/>
  <c r="L196" i="8"/>
  <c r="O196" i="8" s="1"/>
  <c r="R196" i="8" s="1"/>
  <c r="U196" i="8" s="1"/>
  <c r="X196" i="8" s="1"/>
  <c r="AA196" i="8" s="1"/>
  <c r="AD196" i="8" s="1"/>
  <c r="AG196" i="8" s="1"/>
  <c r="AJ196" i="8" s="1"/>
  <c r="L188" i="8"/>
  <c r="O188" i="8" s="1"/>
  <c r="R188" i="8" s="1"/>
  <c r="U188" i="8" s="1"/>
  <c r="X188" i="8" s="1"/>
  <c r="AA188" i="8" s="1"/>
  <c r="AD188" i="8" s="1"/>
  <c r="AG188" i="8" s="1"/>
  <c r="AJ188" i="8" s="1"/>
  <c r="L173" i="8"/>
  <c r="O173" i="8" s="1"/>
  <c r="R173" i="8" s="1"/>
  <c r="U173" i="8" s="1"/>
  <c r="X173" i="8" s="1"/>
  <c r="AA173" i="8" s="1"/>
  <c r="AD173" i="8" s="1"/>
  <c r="AG173" i="8" s="1"/>
  <c r="AJ173" i="8" s="1"/>
  <c r="L165" i="8"/>
  <c r="O165" i="8" s="1"/>
  <c r="R165" i="8" s="1"/>
  <c r="U165" i="8" s="1"/>
  <c r="X165" i="8" s="1"/>
  <c r="AA165" i="8" s="1"/>
  <c r="AD165" i="8" s="1"/>
  <c r="AG165" i="8" s="1"/>
  <c r="AJ165" i="8" s="1"/>
  <c r="L150" i="8"/>
  <c r="O150" i="8" s="1"/>
  <c r="R150" i="8" s="1"/>
  <c r="U150" i="8" s="1"/>
  <c r="X150" i="8" s="1"/>
  <c r="AA150" i="8" s="1"/>
  <c r="AD150" i="8" s="1"/>
  <c r="AG150" i="8" s="1"/>
  <c r="AJ150" i="8" s="1"/>
  <c r="L135" i="8"/>
  <c r="O135" i="8" s="1"/>
  <c r="R135" i="8" s="1"/>
  <c r="U135" i="8" s="1"/>
  <c r="X135" i="8" s="1"/>
  <c r="AA135" i="8" s="1"/>
  <c r="AD135" i="8" s="1"/>
  <c r="AG135" i="8" s="1"/>
  <c r="AJ135" i="8" s="1"/>
  <c r="J224" i="8"/>
  <c r="M224" i="8" s="1"/>
  <c r="P224" i="8" s="1"/>
  <c r="S224" i="8" s="1"/>
  <c r="V224" i="8" s="1"/>
  <c r="Y224" i="8" s="1"/>
  <c r="AB224" i="8" s="1"/>
  <c r="AE224" i="8" s="1"/>
  <c r="AH224" i="8" s="1"/>
  <c r="J220" i="8"/>
  <c r="M220" i="8" s="1"/>
  <c r="P220" i="8" s="1"/>
  <c r="S220" i="8" s="1"/>
  <c r="V220" i="8" s="1"/>
  <c r="Y220" i="8" s="1"/>
  <c r="AB220" i="8" s="1"/>
  <c r="AE220" i="8" s="1"/>
  <c r="AH220" i="8" s="1"/>
  <c r="J216" i="8"/>
  <c r="M216" i="8" s="1"/>
  <c r="P216" i="8" s="1"/>
  <c r="S216" i="8" s="1"/>
  <c r="V216" i="8" s="1"/>
  <c r="Y216" i="8" s="1"/>
  <c r="AB216" i="8" s="1"/>
  <c r="AE216" i="8" s="1"/>
  <c r="AH216" i="8" s="1"/>
  <c r="J212" i="8"/>
  <c r="M212" i="8" s="1"/>
  <c r="P212" i="8" s="1"/>
  <c r="S212" i="8" s="1"/>
  <c r="V212" i="8" s="1"/>
  <c r="Y212" i="8" s="1"/>
  <c r="AB212" i="8" s="1"/>
  <c r="AE212" i="8" s="1"/>
  <c r="AH212" i="8" s="1"/>
  <c r="J208" i="8"/>
  <c r="M208" i="8" s="1"/>
  <c r="P208" i="8" s="1"/>
  <c r="S208" i="8" s="1"/>
  <c r="V208" i="8" s="1"/>
  <c r="Y208" i="8" s="1"/>
  <c r="AB208" i="8" s="1"/>
  <c r="AE208" i="8" s="1"/>
  <c r="AH208" i="8" s="1"/>
  <c r="J201" i="8"/>
  <c r="M201" i="8" s="1"/>
  <c r="P201" i="8" s="1"/>
  <c r="S201" i="8" s="1"/>
  <c r="V201" i="8" s="1"/>
  <c r="Y201" i="8" s="1"/>
  <c r="AB201" i="8" s="1"/>
  <c r="AE201" i="8" s="1"/>
  <c r="AH201" i="8" s="1"/>
  <c r="J197" i="8"/>
  <c r="M197" i="8" s="1"/>
  <c r="P197" i="8" s="1"/>
  <c r="S197" i="8" s="1"/>
  <c r="V197" i="8" s="1"/>
  <c r="Y197" i="8" s="1"/>
  <c r="AB197" i="8" s="1"/>
  <c r="AE197" i="8" s="1"/>
  <c r="AH197" i="8" s="1"/>
  <c r="J193" i="8"/>
  <c r="M193" i="8" s="1"/>
  <c r="P193" i="8" s="1"/>
  <c r="S193" i="8" s="1"/>
  <c r="V193" i="8" s="1"/>
  <c r="Y193" i="8" s="1"/>
  <c r="AB193" i="8" s="1"/>
  <c r="AE193" i="8" s="1"/>
  <c r="AH193" i="8" s="1"/>
  <c r="J189" i="8"/>
  <c r="M189" i="8" s="1"/>
  <c r="P189" i="8" s="1"/>
  <c r="S189" i="8" s="1"/>
  <c r="V189" i="8" s="1"/>
  <c r="Y189" i="8" s="1"/>
  <c r="AB189" i="8" s="1"/>
  <c r="AE189" i="8" s="1"/>
  <c r="AH189" i="8" s="1"/>
  <c r="J185" i="8"/>
  <c r="M185" i="8" s="1"/>
  <c r="P185" i="8" s="1"/>
  <c r="S185" i="8" s="1"/>
  <c r="V185" i="8" s="1"/>
  <c r="Y185" i="8" s="1"/>
  <c r="AB185" i="8" s="1"/>
  <c r="AE185" i="8" s="1"/>
  <c r="AH185" i="8" s="1"/>
  <c r="J178" i="8"/>
  <c r="M178" i="8" s="1"/>
  <c r="P178" i="8" s="1"/>
  <c r="S178" i="8" s="1"/>
  <c r="V178" i="8" s="1"/>
  <c r="Y178" i="8" s="1"/>
  <c r="AB178" i="8" s="1"/>
  <c r="AE178" i="8" s="1"/>
  <c r="AH178" i="8" s="1"/>
  <c r="J174" i="8"/>
  <c r="M174" i="8" s="1"/>
  <c r="P174" i="8" s="1"/>
  <c r="S174" i="8" s="1"/>
  <c r="V174" i="8" s="1"/>
  <c r="Y174" i="8" s="1"/>
  <c r="AB174" i="8" s="1"/>
  <c r="AE174" i="8" s="1"/>
  <c r="AH174" i="8" s="1"/>
  <c r="J170" i="8"/>
  <c r="M170" i="8" s="1"/>
  <c r="P170" i="8" s="1"/>
  <c r="S170" i="8" s="1"/>
  <c r="V170" i="8" s="1"/>
  <c r="Y170" i="8" s="1"/>
  <c r="AB170" i="8" s="1"/>
  <c r="AE170" i="8" s="1"/>
  <c r="AH170" i="8" s="1"/>
  <c r="J166" i="8"/>
  <c r="M166" i="8" s="1"/>
  <c r="P166" i="8" s="1"/>
  <c r="S166" i="8" s="1"/>
  <c r="V166" i="8" s="1"/>
  <c r="Y166" i="8" s="1"/>
  <c r="AB166" i="8" s="1"/>
  <c r="AE166" i="8" s="1"/>
  <c r="AH166" i="8" s="1"/>
  <c r="J162" i="8"/>
  <c r="M162" i="8" s="1"/>
  <c r="P162" i="8" s="1"/>
  <c r="S162" i="8" s="1"/>
  <c r="V162" i="8" s="1"/>
  <c r="Y162" i="8" s="1"/>
  <c r="AB162" i="8" s="1"/>
  <c r="AE162" i="8" s="1"/>
  <c r="AH162" i="8" s="1"/>
  <c r="J155" i="8"/>
  <c r="M155" i="8" s="1"/>
  <c r="P155" i="8" s="1"/>
  <c r="S155" i="8" s="1"/>
  <c r="V155" i="8" s="1"/>
  <c r="Y155" i="8" s="1"/>
  <c r="AB155" i="8" s="1"/>
  <c r="AE155" i="8" s="1"/>
  <c r="AH155" i="8" s="1"/>
  <c r="J151" i="8"/>
  <c r="M151" i="8" s="1"/>
  <c r="P151" i="8" s="1"/>
  <c r="S151" i="8" s="1"/>
  <c r="V151" i="8" s="1"/>
  <c r="Y151" i="8" s="1"/>
  <c r="AB151" i="8" s="1"/>
  <c r="AE151" i="8" s="1"/>
  <c r="AH151" i="8" s="1"/>
  <c r="J147" i="8"/>
  <c r="M147" i="8" s="1"/>
  <c r="P147" i="8" s="1"/>
  <c r="S147" i="8" s="1"/>
  <c r="V147" i="8" s="1"/>
  <c r="Y147" i="8" s="1"/>
  <c r="AB147" i="8" s="1"/>
  <c r="AE147" i="8" s="1"/>
  <c r="AH147" i="8" s="1"/>
  <c r="J143" i="8"/>
  <c r="M143" i="8" s="1"/>
  <c r="P143" i="8" s="1"/>
  <c r="S143" i="8" s="1"/>
  <c r="V143" i="8" s="1"/>
  <c r="Y143" i="8" s="1"/>
  <c r="AB143" i="8" s="1"/>
  <c r="AE143" i="8" s="1"/>
  <c r="AH143" i="8" s="1"/>
  <c r="J136" i="8"/>
  <c r="M136" i="8" s="1"/>
  <c r="P136" i="8" s="1"/>
  <c r="S136" i="8" s="1"/>
  <c r="V136" i="8" s="1"/>
  <c r="Y136" i="8" s="1"/>
  <c r="AB136" i="8" s="1"/>
  <c r="AE136" i="8" s="1"/>
  <c r="AH136" i="8" s="1"/>
  <c r="J132" i="8"/>
  <c r="M132" i="8" s="1"/>
  <c r="P132" i="8" s="1"/>
  <c r="S132" i="8" s="1"/>
  <c r="V132" i="8" s="1"/>
  <c r="Y132" i="8" s="1"/>
  <c r="AB132" i="8" s="1"/>
  <c r="AE132" i="8" s="1"/>
  <c r="AH132" i="8" s="1"/>
  <c r="J128" i="8"/>
  <c r="M128" i="8" s="1"/>
  <c r="P128" i="8" s="1"/>
  <c r="S128" i="8" s="1"/>
  <c r="V128" i="8" s="1"/>
  <c r="Y128" i="8" s="1"/>
  <c r="AB128" i="8" s="1"/>
  <c r="AE128" i="8" s="1"/>
  <c r="AH128" i="8" s="1"/>
  <c r="J124" i="8"/>
  <c r="M124" i="8" s="1"/>
  <c r="P124" i="8" s="1"/>
  <c r="S124" i="8" s="1"/>
  <c r="V124" i="8" s="1"/>
  <c r="Y124" i="8" s="1"/>
  <c r="AB124" i="8" s="1"/>
  <c r="AE124" i="8" s="1"/>
  <c r="AH124" i="8" s="1"/>
  <c r="J120" i="8"/>
  <c r="M120" i="8" s="1"/>
  <c r="P120" i="8" s="1"/>
  <c r="S120" i="8" s="1"/>
  <c r="V120" i="8" s="1"/>
  <c r="Y120" i="8" s="1"/>
  <c r="AB120" i="8" s="1"/>
  <c r="AE120" i="8" s="1"/>
  <c r="AH120" i="8" s="1"/>
  <c r="J113" i="8"/>
  <c r="M113" i="8" s="1"/>
  <c r="P113" i="8" s="1"/>
  <c r="S113" i="8" s="1"/>
  <c r="V113" i="8" s="1"/>
  <c r="Y113" i="8" s="1"/>
  <c r="AB113" i="8" s="1"/>
  <c r="AE113" i="8" s="1"/>
  <c r="AH113" i="8" s="1"/>
  <c r="J109" i="8"/>
  <c r="M109" i="8" s="1"/>
  <c r="P109" i="8" s="1"/>
  <c r="S109" i="8" s="1"/>
  <c r="V109" i="8" s="1"/>
  <c r="Y109" i="8" s="1"/>
  <c r="AB109" i="8" s="1"/>
  <c r="AE109" i="8" s="1"/>
  <c r="AH109" i="8" s="1"/>
  <c r="J105" i="8"/>
  <c r="M105" i="8" s="1"/>
  <c r="P105" i="8" s="1"/>
  <c r="S105" i="8" s="1"/>
  <c r="V105" i="8" s="1"/>
  <c r="Y105" i="8" s="1"/>
  <c r="AB105" i="8" s="1"/>
  <c r="AE105" i="8" s="1"/>
  <c r="AH105" i="8" s="1"/>
  <c r="J101" i="8"/>
  <c r="M101" i="8" s="1"/>
  <c r="P101" i="8" s="1"/>
  <c r="S101" i="8" s="1"/>
  <c r="V101" i="8" s="1"/>
  <c r="Y101" i="8" s="1"/>
  <c r="AB101" i="8" s="1"/>
  <c r="AE101" i="8" s="1"/>
  <c r="AH101" i="8" s="1"/>
  <c r="J97" i="8"/>
  <c r="M97" i="8" s="1"/>
  <c r="P97" i="8" s="1"/>
  <c r="S97" i="8" s="1"/>
  <c r="V97" i="8" s="1"/>
  <c r="Y97" i="8" s="1"/>
  <c r="AB97" i="8" s="1"/>
  <c r="AE97" i="8" s="1"/>
  <c r="AH97" i="8" s="1"/>
  <c r="J90" i="8"/>
  <c r="M90" i="8" s="1"/>
  <c r="P90" i="8" s="1"/>
  <c r="S90" i="8" s="1"/>
  <c r="V90" i="8" s="1"/>
  <c r="Y90" i="8" s="1"/>
  <c r="AB90" i="8" s="1"/>
  <c r="AE90" i="8" s="1"/>
  <c r="AH90" i="8" s="1"/>
  <c r="J86" i="8"/>
  <c r="M86" i="8" s="1"/>
  <c r="P86" i="8" s="1"/>
  <c r="S86" i="8" s="1"/>
  <c r="V86" i="8" s="1"/>
  <c r="Y86" i="8" s="1"/>
  <c r="AB86" i="8" s="1"/>
  <c r="AE86" i="8" s="1"/>
  <c r="AH86" i="8" s="1"/>
  <c r="J82" i="8"/>
  <c r="M82" i="8" s="1"/>
  <c r="P82" i="8" s="1"/>
  <c r="S82" i="8" s="1"/>
  <c r="V82" i="8" s="1"/>
  <c r="Y82" i="8" s="1"/>
  <c r="AB82" i="8" s="1"/>
  <c r="AE82" i="8" s="1"/>
  <c r="AH82" i="8" s="1"/>
  <c r="J78" i="8"/>
  <c r="M78" i="8" s="1"/>
  <c r="P78" i="8" s="1"/>
  <c r="S78" i="8" s="1"/>
  <c r="V78" i="8" s="1"/>
  <c r="Y78" i="8" s="1"/>
  <c r="AB78" i="8" s="1"/>
  <c r="AE78" i="8" s="1"/>
  <c r="AH78" i="8" s="1"/>
  <c r="J74" i="8"/>
  <c r="M74" i="8" s="1"/>
  <c r="P74" i="8" s="1"/>
  <c r="S74" i="8" s="1"/>
  <c r="V74" i="8" s="1"/>
  <c r="Y74" i="8" s="1"/>
  <c r="AB74" i="8" s="1"/>
  <c r="AE74" i="8" s="1"/>
  <c r="AH74" i="8" s="1"/>
  <c r="J67" i="8"/>
  <c r="M67" i="8" s="1"/>
  <c r="P67" i="8" s="1"/>
  <c r="S67" i="8" s="1"/>
  <c r="V67" i="8" s="1"/>
  <c r="Y67" i="8" s="1"/>
  <c r="AB67" i="8" s="1"/>
  <c r="AE67" i="8" s="1"/>
  <c r="AH67" i="8" s="1"/>
  <c r="J63" i="8"/>
  <c r="M63" i="8" s="1"/>
  <c r="P63" i="8" s="1"/>
  <c r="S63" i="8" s="1"/>
  <c r="V63" i="8" s="1"/>
  <c r="Y63" i="8" s="1"/>
  <c r="AB63" i="8" s="1"/>
  <c r="AE63" i="8" s="1"/>
  <c r="AH63" i="8" s="1"/>
  <c r="J59" i="8"/>
  <c r="M59" i="8" s="1"/>
  <c r="P59" i="8" s="1"/>
  <c r="S59" i="8" s="1"/>
  <c r="V59" i="8" s="1"/>
  <c r="Y59" i="8" s="1"/>
  <c r="AB59" i="8" s="1"/>
  <c r="AE59" i="8" s="1"/>
  <c r="AH59" i="8" s="1"/>
  <c r="J55" i="8"/>
  <c r="M55" i="8" s="1"/>
  <c r="P55" i="8" s="1"/>
  <c r="S55" i="8" s="1"/>
  <c r="V55" i="8" s="1"/>
  <c r="Y55" i="8" s="1"/>
  <c r="AB55" i="8" s="1"/>
  <c r="AE55" i="8" s="1"/>
  <c r="AH55" i="8" s="1"/>
  <c r="L34" i="8"/>
  <c r="O34" i="8" s="1"/>
  <c r="R34" i="8" s="1"/>
  <c r="U34" i="8" s="1"/>
  <c r="X34" i="8" s="1"/>
  <c r="AA34" i="8" s="1"/>
  <c r="AD34" i="8" s="1"/>
  <c r="AG34" i="8" s="1"/>
  <c r="AJ34" i="8" s="1"/>
  <c r="L38" i="8"/>
  <c r="O38" i="8" s="1"/>
  <c r="R38" i="8" s="1"/>
  <c r="U38" i="8" s="1"/>
  <c r="X38" i="8" s="1"/>
  <c r="AA38" i="8" s="1"/>
  <c r="AD38" i="8" s="1"/>
  <c r="AG38" i="8" s="1"/>
  <c r="AJ38" i="8" s="1"/>
  <c r="L42" i="8"/>
  <c r="O42" i="8" s="1"/>
  <c r="R42" i="8" s="1"/>
  <c r="U42" i="8" s="1"/>
  <c r="X42" i="8" s="1"/>
  <c r="AA42" i="8" s="1"/>
  <c r="AD42" i="8" s="1"/>
  <c r="AG42" i="8" s="1"/>
  <c r="AJ42" i="8" s="1"/>
  <c r="L46" i="8"/>
  <c r="O46" i="8" s="1"/>
  <c r="R46" i="8" s="1"/>
  <c r="U46" i="8" s="1"/>
  <c r="X46" i="8" s="1"/>
  <c r="AA46" i="8" s="1"/>
  <c r="AD46" i="8" s="1"/>
  <c r="AG46" i="8" s="1"/>
  <c r="AJ46" i="8" s="1"/>
  <c r="J9" i="8"/>
  <c r="M9" i="8" s="1"/>
  <c r="P9" i="8" s="1"/>
  <c r="S9" i="8" s="1"/>
  <c r="V9" i="8" s="1"/>
  <c r="Y9" i="8" s="1"/>
  <c r="AB9" i="8" s="1"/>
  <c r="AE9" i="8" s="1"/>
  <c r="J13" i="8"/>
  <c r="M13" i="8" s="1"/>
  <c r="P13" i="8" s="1"/>
  <c r="S13" i="8" s="1"/>
  <c r="V13" i="8" s="1"/>
  <c r="Y13" i="8" s="1"/>
  <c r="AB13" i="8" s="1"/>
  <c r="AE13" i="8" s="1"/>
  <c r="AH13" i="8" s="1"/>
  <c r="J17" i="8"/>
  <c r="M17" i="8" s="1"/>
  <c r="P17" i="8" s="1"/>
  <c r="S17" i="8" s="1"/>
  <c r="V17" i="8" s="1"/>
  <c r="Y17" i="8" s="1"/>
  <c r="AB17" i="8" s="1"/>
  <c r="AE17" i="8" s="1"/>
  <c r="AH17" i="8" s="1"/>
  <c r="J21" i="8"/>
  <c r="M21" i="8" s="1"/>
  <c r="P21" i="8" s="1"/>
  <c r="S21" i="8" s="1"/>
  <c r="V21" i="8" s="1"/>
  <c r="Y21" i="8" s="1"/>
  <c r="AB21" i="8" s="1"/>
  <c r="AE21" i="8" s="1"/>
  <c r="AH21" i="8" s="1"/>
  <c r="J25" i="8"/>
  <c r="M25" i="8" s="1"/>
  <c r="P25" i="8" s="1"/>
  <c r="S25" i="8" s="1"/>
  <c r="V25" i="8" s="1"/>
  <c r="Y25" i="8" s="1"/>
  <c r="AB25" i="8" s="1"/>
  <c r="AE25" i="8" s="1"/>
  <c r="AH25" i="8" s="1"/>
  <c r="L215" i="8"/>
  <c r="O215" i="8" s="1"/>
  <c r="R215" i="8" s="1"/>
  <c r="U215" i="8" s="1"/>
  <c r="X215" i="8" s="1"/>
  <c r="AA215" i="8" s="1"/>
  <c r="AD215" i="8" s="1"/>
  <c r="AG215" i="8" s="1"/>
  <c r="AJ215" i="8" s="1"/>
  <c r="L207" i="8"/>
  <c r="O207" i="8" s="1"/>
  <c r="R207" i="8" s="1"/>
  <c r="U207" i="8" s="1"/>
  <c r="X207" i="8" s="1"/>
  <c r="AA207" i="8" s="1"/>
  <c r="AD207" i="8" s="1"/>
  <c r="AG207" i="8" s="1"/>
  <c r="AJ207" i="8" s="1"/>
  <c r="L192" i="8"/>
  <c r="O192" i="8" s="1"/>
  <c r="R192" i="8" s="1"/>
  <c r="U192" i="8" s="1"/>
  <c r="X192" i="8" s="1"/>
  <c r="AA192" i="8" s="1"/>
  <c r="AD192" i="8" s="1"/>
  <c r="AG192" i="8" s="1"/>
  <c r="AJ192" i="8" s="1"/>
  <c r="L177" i="8"/>
  <c r="O177" i="8" s="1"/>
  <c r="R177" i="8" s="1"/>
  <c r="U177" i="8" s="1"/>
  <c r="X177" i="8" s="1"/>
  <c r="AA177" i="8" s="1"/>
  <c r="AD177" i="8" s="1"/>
  <c r="AG177" i="8" s="1"/>
  <c r="AJ177" i="8" s="1"/>
  <c r="L158" i="8"/>
  <c r="O158" i="8" s="1"/>
  <c r="R158" i="8" s="1"/>
  <c r="U158" i="8" s="1"/>
  <c r="X158" i="8" s="1"/>
  <c r="AA158" i="8" s="1"/>
  <c r="AD158" i="8" s="1"/>
  <c r="AG158" i="8" s="1"/>
  <c r="AJ158" i="8" s="1"/>
  <c r="L142" i="8"/>
  <c r="O142" i="8" s="1"/>
  <c r="R142" i="8" s="1"/>
  <c r="U142" i="8" s="1"/>
  <c r="X142" i="8" s="1"/>
  <c r="AA142" i="8" s="1"/>
  <c r="AD142" i="8" s="1"/>
  <c r="AG142" i="8" s="1"/>
  <c r="AJ142" i="8" s="1"/>
  <c r="K219" i="8"/>
  <c r="N219" i="8" s="1"/>
  <c r="Q219" i="8" s="1"/>
  <c r="T219" i="8" s="1"/>
  <c r="W219" i="8" s="1"/>
  <c r="Z219" i="8" s="1"/>
  <c r="AC219" i="8" s="1"/>
  <c r="AF219" i="8" s="1"/>
  <c r="AI219" i="8" s="1"/>
  <c r="K200" i="8"/>
  <c r="N200" i="8" s="1"/>
  <c r="Q200" i="8" s="1"/>
  <c r="T200" i="8" s="1"/>
  <c r="W200" i="8" s="1"/>
  <c r="Z200" i="8" s="1"/>
  <c r="AC200" i="8" s="1"/>
  <c r="AF200" i="8" s="1"/>
  <c r="AI200" i="8" s="1"/>
  <c r="J186" i="8"/>
  <c r="M186" i="8" s="1"/>
  <c r="P186" i="8" s="1"/>
  <c r="S186" i="8" s="1"/>
  <c r="V186" i="8" s="1"/>
  <c r="Y186" i="8" s="1"/>
  <c r="AB186" i="8" s="1"/>
  <c r="AE186" i="8" s="1"/>
  <c r="AH186" i="8" s="1"/>
  <c r="J171" i="8"/>
  <c r="M171" i="8" s="1"/>
  <c r="P171" i="8" s="1"/>
  <c r="S171" i="8" s="1"/>
  <c r="V171" i="8" s="1"/>
  <c r="Y171" i="8" s="1"/>
  <c r="AB171" i="8" s="1"/>
  <c r="AE171" i="8" s="1"/>
  <c r="AH171" i="8" s="1"/>
  <c r="J156" i="8"/>
  <c r="M156" i="8" s="1"/>
  <c r="P156" i="8" s="1"/>
  <c r="S156" i="8" s="1"/>
  <c r="V156" i="8" s="1"/>
  <c r="Y156" i="8" s="1"/>
  <c r="AB156" i="8" s="1"/>
  <c r="AE156" i="8" s="1"/>
  <c r="AH156" i="8" s="1"/>
  <c r="J144" i="8"/>
  <c r="M144" i="8" s="1"/>
  <c r="P144" i="8" s="1"/>
  <c r="S144" i="8" s="1"/>
  <c r="V144" i="8" s="1"/>
  <c r="Y144" i="8" s="1"/>
  <c r="AB144" i="8" s="1"/>
  <c r="AE144" i="8" s="1"/>
  <c r="AH144" i="8" s="1"/>
  <c r="J129" i="8"/>
  <c r="M129" i="8" s="1"/>
  <c r="P129" i="8" s="1"/>
  <c r="S129" i="8" s="1"/>
  <c r="V129" i="8" s="1"/>
  <c r="Y129" i="8" s="1"/>
  <c r="AB129" i="8" s="1"/>
  <c r="AE129" i="8" s="1"/>
  <c r="AH129" i="8" s="1"/>
  <c r="J119" i="8"/>
  <c r="M119" i="8" s="1"/>
  <c r="P119" i="8" s="1"/>
  <c r="S119" i="8" s="1"/>
  <c r="V119" i="8" s="1"/>
  <c r="Y119" i="8" s="1"/>
  <c r="AB119" i="8" s="1"/>
  <c r="AE119" i="8" s="1"/>
  <c r="AH119" i="8" s="1"/>
  <c r="L104" i="8"/>
  <c r="O104" i="8" s="1"/>
  <c r="R104" i="8" s="1"/>
  <c r="U104" i="8" s="1"/>
  <c r="X104" i="8" s="1"/>
  <c r="AA104" i="8" s="1"/>
  <c r="AD104" i="8" s="1"/>
  <c r="AG104" i="8" s="1"/>
  <c r="AJ104" i="8" s="1"/>
  <c r="J96" i="8"/>
  <c r="M96" i="8" s="1"/>
  <c r="P96" i="8" s="1"/>
  <c r="S96" i="8" s="1"/>
  <c r="V96" i="8" s="1"/>
  <c r="Y96" i="8" s="1"/>
  <c r="AB96" i="8" s="1"/>
  <c r="AE96" i="8" s="1"/>
  <c r="AH96" i="8" s="1"/>
  <c r="J85" i="8"/>
  <c r="M85" i="8" s="1"/>
  <c r="P85" i="8" s="1"/>
  <c r="S85" i="8" s="1"/>
  <c r="V85" i="8" s="1"/>
  <c r="Y85" i="8" s="1"/>
  <c r="AB85" i="8" s="1"/>
  <c r="AE85" i="8" s="1"/>
  <c r="AH85" i="8" s="1"/>
  <c r="J77" i="8"/>
  <c r="M77" i="8" s="1"/>
  <c r="P77" i="8" s="1"/>
  <c r="S77" i="8" s="1"/>
  <c r="V77" i="8" s="1"/>
  <c r="Y77" i="8" s="1"/>
  <c r="AB77" i="8" s="1"/>
  <c r="AE77" i="8" s="1"/>
  <c r="AH77" i="8" s="1"/>
  <c r="J66" i="8"/>
  <c r="M66" i="8" s="1"/>
  <c r="P66" i="8" s="1"/>
  <c r="S66" i="8" s="1"/>
  <c r="V66" i="8" s="1"/>
  <c r="Y66" i="8" s="1"/>
  <c r="AB66" i="8" s="1"/>
  <c r="AE66" i="8" s="1"/>
  <c r="AH66" i="8" s="1"/>
  <c r="J58" i="8"/>
  <c r="M58" i="8" s="1"/>
  <c r="P58" i="8" s="1"/>
  <c r="S58" i="8" s="1"/>
  <c r="V58" i="8" s="1"/>
  <c r="Y58" i="8" s="1"/>
  <c r="AB58" i="8" s="1"/>
  <c r="AE58" i="8" s="1"/>
  <c r="AH58" i="8" s="1"/>
  <c r="L35" i="8"/>
  <c r="O35" i="8" s="1"/>
  <c r="R35" i="8" s="1"/>
  <c r="U35" i="8" s="1"/>
  <c r="X35" i="8" s="1"/>
  <c r="AA35" i="8" s="1"/>
  <c r="AD35" i="8" s="1"/>
  <c r="AG35" i="8" s="1"/>
  <c r="AJ35" i="8" s="1"/>
  <c r="L43" i="8"/>
  <c r="O43" i="8" s="1"/>
  <c r="R43" i="8" s="1"/>
  <c r="U43" i="8" s="1"/>
  <c r="X43" i="8" s="1"/>
  <c r="AA43" i="8" s="1"/>
  <c r="AD43" i="8" s="1"/>
  <c r="AG43" i="8" s="1"/>
  <c r="AJ43" i="8" s="1"/>
  <c r="J30" i="8"/>
  <c r="M30" i="8" s="1"/>
  <c r="P30" i="8" s="1"/>
  <c r="S30" i="8" s="1"/>
  <c r="V30" i="8" s="1"/>
  <c r="Y30" i="8" s="1"/>
  <c r="AB30" i="8" s="1"/>
  <c r="AE30" i="8" s="1"/>
  <c r="AH30" i="8" s="1"/>
  <c r="J14" i="8"/>
  <c r="M14" i="8" s="1"/>
  <c r="P14" i="8" s="1"/>
  <c r="S14" i="8" s="1"/>
  <c r="V14" i="8" s="1"/>
  <c r="Y14" i="8" s="1"/>
  <c r="AB14" i="8" s="1"/>
  <c r="AE14" i="8" s="1"/>
  <c r="AH14" i="8" s="1"/>
  <c r="K19" i="8"/>
  <c r="N19" i="8" s="1"/>
  <c r="Q19" i="8" s="1"/>
  <c r="T19" i="8" s="1"/>
  <c r="W19" i="8" s="1"/>
  <c r="Z19" i="8" s="1"/>
  <c r="AC19" i="8" s="1"/>
  <c r="AF19" i="8" s="1"/>
  <c r="AI19" i="8" s="1"/>
  <c r="J26" i="8"/>
  <c r="M26" i="8" s="1"/>
  <c r="P26" i="8" s="1"/>
  <c r="S26" i="8" s="1"/>
  <c r="V26" i="8" s="1"/>
  <c r="Y26" i="8" s="1"/>
  <c r="AB26" i="8" s="1"/>
  <c r="AE26" i="8" s="1"/>
  <c r="AH26" i="8" s="1"/>
  <c r="J20" i="8"/>
  <c r="M20" i="8" s="1"/>
  <c r="P20" i="8" s="1"/>
  <c r="S20" i="8" s="1"/>
  <c r="V20" i="8" s="1"/>
  <c r="Y20" i="8" s="1"/>
  <c r="AB20" i="8" s="1"/>
  <c r="AE20" i="8" s="1"/>
  <c r="AH20" i="8" s="1"/>
  <c r="L44" i="8"/>
  <c r="O44" i="8" s="1"/>
  <c r="R44" i="8" s="1"/>
  <c r="U44" i="8" s="1"/>
  <c r="X44" i="8" s="1"/>
  <c r="AA44" i="8" s="1"/>
  <c r="AD44" i="8" s="1"/>
  <c r="AG44" i="8" s="1"/>
  <c r="AJ44" i="8" s="1"/>
  <c r="K9" i="8"/>
  <c r="N9" i="8" s="1"/>
  <c r="Q9" i="8" s="1"/>
  <c r="T9" i="8" s="1"/>
  <c r="W9" i="8" s="1"/>
  <c r="Z9" i="8" s="1"/>
  <c r="AC9" i="8" s="1"/>
  <c r="AF9" i="8" s="1"/>
  <c r="K21" i="8"/>
  <c r="N21" i="8" s="1"/>
  <c r="Q21" i="8" s="1"/>
  <c r="T21" i="8" s="1"/>
  <c r="W21" i="8" s="1"/>
  <c r="Z21" i="8" s="1"/>
  <c r="AC21" i="8" s="1"/>
  <c r="AF21" i="8" s="1"/>
  <c r="AI21" i="8" s="1"/>
  <c r="L54" i="8"/>
  <c r="O54" i="8" s="1"/>
  <c r="R54" i="8" s="1"/>
  <c r="U54" i="8" s="1"/>
  <c r="X54" i="8" s="1"/>
  <c r="AA54" i="8" s="1"/>
  <c r="AD54" i="8" s="1"/>
  <c r="AG54" i="8" s="1"/>
  <c r="AJ54" i="8" s="1"/>
  <c r="L45" i="8"/>
  <c r="O45" i="8" s="1"/>
  <c r="R45" i="8" s="1"/>
  <c r="U45" i="8" s="1"/>
  <c r="X45" i="8" s="1"/>
  <c r="AA45" i="8" s="1"/>
  <c r="AD45" i="8" s="1"/>
  <c r="AG45" i="8" s="1"/>
  <c r="AJ45" i="8" s="1"/>
  <c r="J22" i="8"/>
  <c r="M22" i="8" s="1"/>
  <c r="P22" i="8" s="1"/>
  <c r="S22" i="8" s="1"/>
  <c r="V22" i="8" s="1"/>
  <c r="Y22" i="8" s="1"/>
  <c r="AB22" i="8" s="1"/>
  <c r="AE22" i="8" s="1"/>
  <c r="AH22" i="8" s="1"/>
  <c r="K195" i="8"/>
  <c r="N195" i="8" s="1"/>
  <c r="Q195" i="8" s="1"/>
  <c r="T195" i="8" s="1"/>
  <c r="W195" i="8" s="1"/>
  <c r="Z195" i="8" s="1"/>
  <c r="AC195" i="8" s="1"/>
  <c r="AF195" i="8" s="1"/>
  <c r="AI195" i="8" s="1"/>
  <c r="K81" i="8"/>
  <c r="N81" i="8" s="1"/>
  <c r="Q81" i="8" s="1"/>
  <c r="T81" i="8" s="1"/>
  <c r="W81" i="8" s="1"/>
  <c r="Z81" i="8" s="1"/>
  <c r="AC81" i="8" s="1"/>
  <c r="AF81" i="8" s="1"/>
  <c r="AI81" i="8" s="1"/>
  <c r="K31" i="8"/>
  <c r="N31" i="8" s="1"/>
  <c r="Q31" i="8" s="1"/>
  <c r="T31" i="8" s="1"/>
  <c r="W31" i="8" s="1"/>
  <c r="Z31" i="8" s="1"/>
  <c r="AC31" i="8" s="1"/>
  <c r="AF31" i="8" s="1"/>
  <c r="AI31" i="8" s="1"/>
  <c r="J219" i="8"/>
  <c r="M219" i="8" s="1"/>
  <c r="P219" i="8" s="1"/>
  <c r="S219" i="8" s="1"/>
  <c r="V219" i="8" s="1"/>
  <c r="Y219" i="8" s="1"/>
  <c r="AB219" i="8" s="1"/>
  <c r="AE219" i="8" s="1"/>
  <c r="AH219" i="8" s="1"/>
  <c r="J200" i="8"/>
  <c r="M200" i="8" s="1"/>
  <c r="P200" i="8" s="1"/>
  <c r="S200" i="8" s="1"/>
  <c r="V200" i="8" s="1"/>
  <c r="Y200" i="8" s="1"/>
  <c r="AB200" i="8" s="1"/>
  <c r="AE200" i="8" s="1"/>
  <c r="AH200" i="8" s="1"/>
  <c r="K184" i="8"/>
  <c r="N184" i="8" s="1"/>
  <c r="Q184" i="8" s="1"/>
  <c r="T184" i="8" s="1"/>
  <c r="W184" i="8" s="1"/>
  <c r="Z184" i="8" s="1"/>
  <c r="AC184" i="8" s="1"/>
  <c r="AF184" i="8" s="1"/>
  <c r="AI184" i="8" s="1"/>
  <c r="K169" i="8"/>
  <c r="N169" i="8" s="1"/>
  <c r="Q169" i="8" s="1"/>
  <c r="T169" i="8" s="1"/>
  <c r="W169" i="8" s="1"/>
  <c r="Z169" i="8" s="1"/>
  <c r="AC169" i="8" s="1"/>
  <c r="AF169" i="8" s="1"/>
  <c r="AI169" i="8" s="1"/>
  <c r="K154" i="8"/>
  <c r="N154" i="8" s="1"/>
  <c r="Q154" i="8" s="1"/>
  <c r="T154" i="8" s="1"/>
  <c r="W154" i="8" s="1"/>
  <c r="Z154" i="8" s="1"/>
  <c r="AC154" i="8" s="1"/>
  <c r="AF154" i="8" s="1"/>
  <c r="AI154" i="8" s="1"/>
  <c r="K142" i="8"/>
  <c r="N142" i="8" s="1"/>
  <c r="Q142" i="8" s="1"/>
  <c r="T142" i="8" s="1"/>
  <c r="W142" i="8" s="1"/>
  <c r="Z142" i="8" s="1"/>
  <c r="AC142" i="8" s="1"/>
  <c r="AF142" i="8" s="1"/>
  <c r="AI142" i="8" s="1"/>
  <c r="L127" i="8"/>
  <c r="O127" i="8" s="1"/>
  <c r="R127" i="8" s="1"/>
  <c r="U127" i="8" s="1"/>
  <c r="X127" i="8" s="1"/>
  <c r="AA127" i="8" s="1"/>
  <c r="AD127" i="8" s="1"/>
  <c r="AG127" i="8" s="1"/>
  <c r="AJ127" i="8" s="1"/>
  <c r="K118" i="8"/>
  <c r="N118" i="8" s="1"/>
  <c r="Q118" i="8" s="1"/>
  <c r="T118" i="8" s="1"/>
  <c r="W118" i="8" s="1"/>
  <c r="Z118" i="8" s="1"/>
  <c r="AC118" i="8" s="1"/>
  <c r="AF118" i="8" s="1"/>
  <c r="AI118" i="8" s="1"/>
  <c r="K104" i="8"/>
  <c r="N104" i="8" s="1"/>
  <c r="Q104" i="8" s="1"/>
  <c r="T104" i="8" s="1"/>
  <c r="W104" i="8" s="1"/>
  <c r="Z104" i="8" s="1"/>
  <c r="AC104" i="8" s="1"/>
  <c r="AF104" i="8" s="1"/>
  <c r="AI104" i="8" s="1"/>
  <c r="K92" i="8"/>
  <c r="N92" i="8" s="1"/>
  <c r="Q92" i="8" s="1"/>
  <c r="T92" i="8" s="1"/>
  <c r="W92" i="8" s="1"/>
  <c r="Z92" i="8" s="1"/>
  <c r="AC92" i="8" s="1"/>
  <c r="AF92" i="8" s="1"/>
  <c r="AI92" i="8" s="1"/>
  <c r="K84" i="8"/>
  <c r="N84" i="8" s="1"/>
  <c r="Q84" i="8" s="1"/>
  <c r="T84" i="8" s="1"/>
  <c r="W84" i="8" s="1"/>
  <c r="Z84" i="8" s="1"/>
  <c r="AC84" i="8" s="1"/>
  <c r="AF84" i="8" s="1"/>
  <c r="AI84" i="8" s="1"/>
  <c r="K76" i="8"/>
  <c r="N76" i="8" s="1"/>
  <c r="Q76" i="8" s="1"/>
  <c r="T76" i="8" s="1"/>
  <c r="W76" i="8" s="1"/>
  <c r="Z76" i="8" s="1"/>
  <c r="AC76" i="8" s="1"/>
  <c r="AF76" i="8" s="1"/>
  <c r="AI76" i="8" s="1"/>
  <c r="K65" i="8"/>
  <c r="N65" i="8" s="1"/>
  <c r="Q65" i="8" s="1"/>
  <c r="T65" i="8" s="1"/>
  <c r="W65" i="8" s="1"/>
  <c r="Z65" i="8" s="1"/>
  <c r="AC65" i="8" s="1"/>
  <c r="AF65" i="8" s="1"/>
  <c r="AI65" i="8" s="1"/>
  <c r="K57" i="8"/>
  <c r="N57" i="8" s="1"/>
  <c r="Q57" i="8" s="1"/>
  <c r="T57" i="8" s="1"/>
  <c r="W57" i="8" s="1"/>
  <c r="Z57" i="8" s="1"/>
  <c r="AC57" i="8" s="1"/>
  <c r="AF57" i="8" s="1"/>
  <c r="AI57" i="8" s="1"/>
  <c r="K36" i="8"/>
  <c r="N36" i="8" s="1"/>
  <c r="Q36" i="8" s="1"/>
  <c r="T36" i="8" s="1"/>
  <c r="W36" i="8" s="1"/>
  <c r="Z36" i="8" s="1"/>
  <c r="AC36" i="8" s="1"/>
  <c r="AF36" i="8" s="1"/>
  <c r="AI36" i="8" s="1"/>
  <c r="K44" i="8"/>
  <c r="N44" i="8" s="1"/>
  <c r="Q44" i="8" s="1"/>
  <c r="T44" i="8" s="1"/>
  <c r="W44" i="8" s="1"/>
  <c r="Z44" i="8" s="1"/>
  <c r="AC44" i="8" s="1"/>
  <c r="AF44" i="8" s="1"/>
  <c r="AI44" i="8" s="1"/>
  <c r="K8" i="8"/>
  <c r="N8" i="8" s="1"/>
  <c r="K14" i="8"/>
  <c r="N14" i="8" s="1"/>
  <c r="Q14" i="8" s="1"/>
  <c r="T14" i="8" s="1"/>
  <c r="W14" i="8" s="1"/>
  <c r="Z14" i="8" s="1"/>
  <c r="AC14" i="8" s="1"/>
  <c r="AF14" i="8" s="1"/>
  <c r="AI14" i="8" s="1"/>
  <c r="K26" i="8"/>
  <c r="N26" i="8" s="1"/>
  <c r="Q26" i="8" s="1"/>
  <c r="T26" i="8" s="1"/>
  <c r="W26" i="8" s="1"/>
  <c r="Z26" i="8" s="1"/>
  <c r="AC26" i="8" s="1"/>
  <c r="AF26" i="8" s="1"/>
  <c r="AI26" i="8" s="1"/>
  <c r="K218" i="8"/>
  <c r="N218" i="8" s="1"/>
  <c r="Q218" i="8" s="1"/>
  <c r="T218" i="8" s="1"/>
  <c r="W218" i="8" s="1"/>
  <c r="Z218" i="8" s="1"/>
  <c r="AC218" i="8" s="1"/>
  <c r="AF218" i="8" s="1"/>
  <c r="AI218" i="8" s="1"/>
  <c r="K199" i="8"/>
  <c r="N199" i="8" s="1"/>
  <c r="Q199" i="8" s="1"/>
  <c r="T199" i="8" s="1"/>
  <c r="W199" i="8" s="1"/>
  <c r="Z199" i="8" s="1"/>
  <c r="AC199" i="8" s="1"/>
  <c r="AF199" i="8" s="1"/>
  <c r="AI199" i="8" s="1"/>
  <c r="J184" i="8"/>
  <c r="M184" i="8" s="1"/>
  <c r="P184" i="8" s="1"/>
  <c r="S184" i="8" s="1"/>
  <c r="V184" i="8" s="1"/>
  <c r="Y184" i="8" s="1"/>
  <c r="AB184" i="8" s="1"/>
  <c r="AE184" i="8" s="1"/>
  <c r="AH184" i="8" s="1"/>
  <c r="J169" i="8"/>
  <c r="M169" i="8" s="1"/>
  <c r="P169" i="8" s="1"/>
  <c r="S169" i="8" s="1"/>
  <c r="V169" i="8" s="1"/>
  <c r="Y169" i="8" s="1"/>
  <c r="AB169" i="8" s="1"/>
  <c r="AE169" i="8" s="1"/>
  <c r="AH169" i="8" s="1"/>
  <c r="J154" i="8"/>
  <c r="M154" i="8" s="1"/>
  <c r="P154" i="8" s="1"/>
  <c r="S154" i="8" s="1"/>
  <c r="V154" i="8" s="1"/>
  <c r="Y154" i="8" s="1"/>
  <c r="AB154" i="8" s="1"/>
  <c r="AE154" i="8" s="1"/>
  <c r="AH154" i="8" s="1"/>
  <c r="J142" i="8"/>
  <c r="M142" i="8" s="1"/>
  <c r="P142" i="8" s="1"/>
  <c r="S142" i="8" s="1"/>
  <c r="V142" i="8" s="1"/>
  <c r="Y142" i="8" s="1"/>
  <c r="AB142" i="8" s="1"/>
  <c r="AE142" i="8" s="1"/>
  <c r="AH142" i="8" s="1"/>
  <c r="K127" i="8"/>
  <c r="N127" i="8" s="1"/>
  <c r="Q127" i="8" s="1"/>
  <c r="T127" i="8" s="1"/>
  <c r="W127" i="8" s="1"/>
  <c r="Z127" i="8" s="1"/>
  <c r="AC127" i="8" s="1"/>
  <c r="AF127" i="8" s="1"/>
  <c r="AI127" i="8" s="1"/>
  <c r="J114" i="8"/>
  <c r="M114" i="8" s="1"/>
  <c r="P114" i="8" s="1"/>
  <c r="S114" i="8" s="1"/>
  <c r="V114" i="8" s="1"/>
  <c r="Y114" i="8" s="1"/>
  <c r="AB114" i="8" s="1"/>
  <c r="AE114" i="8" s="1"/>
  <c r="AH114" i="8" s="1"/>
  <c r="J104" i="8"/>
  <c r="M104" i="8" s="1"/>
  <c r="P104" i="8" s="1"/>
  <c r="S104" i="8" s="1"/>
  <c r="V104" i="8" s="1"/>
  <c r="Y104" i="8" s="1"/>
  <c r="AB104" i="8" s="1"/>
  <c r="AE104" i="8" s="1"/>
  <c r="AH104" i="8" s="1"/>
  <c r="L91" i="8"/>
  <c r="O91" i="8" s="1"/>
  <c r="R91" i="8" s="1"/>
  <c r="U91" i="8" s="1"/>
  <c r="X91" i="8" s="1"/>
  <c r="AA91" i="8" s="1"/>
  <c r="AD91" i="8" s="1"/>
  <c r="AG91" i="8" s="1"/>
  <c r="AJ91" i="8" s="1"/>
  <c r="L83" i="8"/>
  <c r="O83" i="8" s="1"/>
  <c r="R83" i="8" s="1"/>
  <c r="U83" i="8" s="1"/>
  <c r="X83" i="8" s="1"/>
  <c r="AA83" i="8" s="1"/>
  <c r="AD83" i="8" s="1"/>
  <c r="AG83" i="8" s="1"/>
  <c r="AJ83" i="8" s="1"/>
  <c r="L75" i="8"/>
  <c r="O75" i="8" s="1"/>
  <c r="R75" i="8" s="1"/>
  <c r="U75" i="8" s="1"/>
  <c r="X75" i="8" s="1"/>
  <c r="AA75" i="8" s="1"/>
  <c r="AD75" i="8" s="1"/>
  <c r="AG75" i="8" s="1"/>
  <c r="AJ75" i="8" s="1"/>
  <c r="L64" i="8"/>
  <c r="O64" i="8" s="1"/>
  <c r="R64" i="8" s="1"/>
  <c r="U64" i="8" s="1"/>
  <c r="X64" i="8" s="1"/>
  <c r="AA64" i="8" s="1"/>
  <c r="AD64" i="8" s="1"/>
  <c r="AG64" i="8" s="1"/>
  <c r="AJ64" i="8" s="1"/>
  <c r="L56" i="8"/>
  <c r="O56" i="8" s="1"/>
  <c r="R56" i="8" s="1"/>
  <c r="U56" i="8" s="1"/>
  <c r="X56" i="8" s="1"/>
  <c r="AA56" i="8" s="1"/>
  <c r="AD56" i="8" s="1"/>
  <c r="AG56" i="8" s="1"/>
  <c r="AJ56" i="8" s="1"/>
  <c r="J37" i="8"/>
  <c r="M37" i="8" s="1"/>
  <c r="P37" i="8" s="1"/>
  <c r="S37" i="8" s="1"/>
  <c r="V37" i="8" s="1"/>
  <c r="Y37" i="8" s="1"/>
  <c r="AB37" i="8" s="1"/>
  <c r="AE37" i="8" s="1"/>
  <c r="AH37" i="8" s="1"/>
  <c r="L14" i="8"/>
  <c r="O14" i="8" s="1"/>
  <c r="R14" i="8" s="1"/>
  <c r="U14" i="8" s="1"/>
  <c r="X14" i="8" s="1"/>
  <c r="AA14" i="8" s="1"/>
  <c r="AD14" i="8" s="1"/>
  <c r="AG14" i="8" s="1"/>
  <c r="AJ14" i="8" s="1"/>
  <c r="L26" i="8"/>
  <c r="O26" i="8" s="1"/>
  <c r="R26" i="8" s="1"/>
  <c r="U26" i="8" s="1"/>
  <c r="X26" i="8" s="1"/>
  <c r="AA26" i="8" s="1"/>
  <c r="AD26" i="8" s="1"/>
  <c r="AG26" i="8" s="1"/>
  <c r="AJ26" i="8" s="1"/>
  <c r="J102" i="8"/>
  <c r="M102" i="8" s="1"/>
  <c r="P102" i="8" s="1"/>
  <c r="S102" i="8" s="1"/>
  <c r="V102" i="8" s="1"/>
  <c r="Y102" i="8" s="1"/>
  <c r="AB102" i="8" s="1"/>
  <c r="AE102" i="8" s="1"/>
  <c r="AH102" i="8" s="1"/>
  <c r="L70" i="8"/>
  <c r="O70" i="8" s="1"/>
  <c r="R70" i="8" s="1"/>
  <c r="U70" i="8" s="1"/>
  <c r="X70" i="8" s="1"/>
  <c r="AA70" i="8" s="1"/>
  <c r="AD70" i="8" s="1"/>
  <c r="AG70" i="8" s="1"/>
  <c r="AJ70" i="8" s="1"/>
  <c r="J31" i="8"/>
  <c r="M31" i="8" s="1"/>
  <c r="P31" i="8" s="1"/>
  <c r="S31" i="8" s="1"/>
  <c r="V31" i="8" s="1"/>
  <c r="Y31" i="8" s="1"/>
  <c r="AB31" i="8" s="1"/>
  <c r="AE31" i="8" s="1"/>
  <c r="AH31" i="8" s="1"/>
  <c r="K177" i="8"/>
  <c r="N177" i="8" s="1"/>
  <c r="Q177" i="8" s="1"/>
  <c r="T177" i="8" s="1"/>
  <c r="W177" i="8" s="1"/>
  <c r="Z177" i="8" s="1"/>
  <c r="AC177" i="8" s="1"/>
  <c r="AF177" i="8" s="1"/>
  <c r="AI177" i="8" s="1"/>
  <c r="K150" i="8"/>
  <c r="N150" i="8" s="1"/>
  <c r="Q150" i="8" s="1"/>
  <c r="T150" i="8" s="1"/>
  <c r="W150" i="8" s="1"/>
  <c r="Z150" i="8" s="1"/>
  <c r="AC150" i="8" s="1"/>
  <c r="AF150" i="8" s="1"/>
  <c r="AI150" i="8" s="1"/>
  <c r="J125" i="8"/>
  <c r="M125" i="8" s="1"/>
  <c r="P125" i="8" s="1"/>
  <c r="S125" i="8" s="1"/>
  <c r="V125" i="8" s="1"/>
  <c r="Y125" i="8" s="1"/>
  <c r="AB125" i="8" s="1"/>
  <c r="AE125" i="8" s="1"/>
  <c r="AH125" i="8" s="1"/>
  <c r="L100" i="8"/>
  <c r="O100" i="8" s="1"/>
  <c r="R100" i="8" s="1"/>
  <c r="U100" i="8" s="1"/>
  <c r="X100" i="8" s="1"/>
  <c r="AA100" i="8" s="1"/>
  <c r="AD100" i="8" s="1"/>
  <c r="AG100" i="8" s="1"/>
  <c r="AJ100" i="8" s="1"/>
  <c r="K70" i="8"/>
  <c r="N70" i="8" s="1"/>
  <c r="Q70" i="8" s="1"/>
  <c r="T70" i="8" s="1"/>
  <c r="W70" i="8" s="1"/>
  <c r="Z70" i="8" s="1"/>
  <c r="AC70" i="8" s="1"/>
  <c r="AF70" i="8" s="1"/>
  <c r="AI70" i="8" s="1"/>
  <c r="K54" i="8"/>
  <c r="N54" i="8" s="1"/>
  <c r="Q54" i="8" s="1"/>
  <c r="T54" i="8" s="1"/>
  <c r="W54" i="8" s="1"/>
  <c r="Z54" i="8" s="1"/>
  <c r="AC54" i="8" s="1"/>
  <c r="AF54" i="8" s="1"/>
  <c r="AI54" i="8" s="1"/>
  <c r="J47" i="8"/>
  <c r="M47" i="8" s="1"/>
  <c r="P47" i="8" s="1"/>
  <c r="S47" i="8" s="1"/>
  <c r="V47" i="8" s="1"/>
  <c r="Y47" i="8" s="1"/>
  <c r="AB47" i="8" s="1"/>
  <c r="AE47" i="8" s="1"/>
  <c r="AH47" i="8" s="1"/>
  <c r="K215" i="8"/>
  <c r="N215" i="8" s="1"/>
  <c r="Q215" i="8" s="1"/>
  <c r="T215" i="8" s="1"/>
  <c r="W215" i="8" s="1"/>
  <c r="Z215" i="8" s="1"/>
  <c r="AC215" i="8" s="1"/>
  <c r="AF215" i="8" s="1"/>
  <c r="AI215" i="8" s="1"/>
  <c r="K196" i="8"/>
  <c r="N196" i="8" s="1"/>
  <c r="Q196" i="8" s="1"/>
  <c r="T196" i="8" s="1"/>
  <c r="W196" i="8" s="1"/>
  <c r="Z196" i="8" s="1"/>
  <c r="AC196" i="8" s="1"/>
  <c r="AF196" i="8" s="1"/>
  <c r="AI196" i="8" s="1"/>
  <c r="K180" i="8"/>
  <c r="N180" i="8" s="1"/>
  <c r="Q180" i="8" s="1"/>
  <c r="T180" i="8" s="1"/>
  <c r="W180" i="8" s="1"/>
  <c r="Z180" i="8" s="1"/>
  <c r="AC180" i="8" s="1"/>
  <c r="AF180" i="8" s="1"/>
  <c r="AI180" i="8" s="1"/>
  <c r="K168" i="8"/>
  <c r="N168" i="8" s="1"/>
  <c r="Q168" i="8" s="1"/>
  <c r="T168" i="8" s="1"/>
  <c r="W168" i="8" s="1"/>
  <c r="Z168" i="8" s="1"/>
  <c r="AC168" i="8" s="1"/>
  <c r="AF168" i="8" s="1"/>
  <c r="AI168" i="8" s="1"/>
  <c r="K153" i="8"/>
  <c r="N153" i="8" s="1"/>
  <c r="Q153" i="8" s="1"/>
  <c r="T153" i="8" s="1"/>
  <c r="W153" i="8" s="1"/>
  <c r="Z153" i="8" s="1"/>
  <c r="AC153" i="8" s="1"/>
  <c r="AF153" i="8" s="1"/>
  <c r="AI153" i="8" s="1"/>
  <c r="K141" i="8"/>
  <c r="N141" i="8" s="1"/>
  <c r="Q141" i="8" s="1"/>
  <c r="T141" i="8" s="1"/>
  <c r="W141" i="8" s="1"/>
  <c r="Z141" i="8" s="1"/>
  <c r="AC141" i="8" s="1"/>
  <c r="AF141" i="8" s="1"/>
  <c r="AI141" i="8" s="1"/>
  <c r="J127" i="8"/>
  <c r="M127" i="8" s="1"/>
  <c r="P127" i="8" s="1"/>
  <c r="S127" i="8" s="1"/>
  <c r="V127" i="8" s="1"/>
  <c r="Y127" i="8" s="1"/>
  <c r="AB127" i="8" s="1"/>
  <c r="AE127" i="8" s="1"/>
  <c r="AH127" i="8" s="1"/>
  <c r="K112" i="8"/>
  <c r="N112" i="8" s="1"/>
  <c r="Q112" i="8" s="1"/>
  <c r="T112" i="8" s="1"/>
  <c r="W112" i="8" s="1"/>
  <c r="Z112" i="8" s="1"/>
  <c r="AC112" i="8" s="1"/>
  <c r="AF112" i="8" s="1"/>
  <c r="AI112" i="8" s="1"/>
  <c r="K103" i="8"/>
  <c r="N103" i="8" s="1"/>
  <c r="Q103" i="8" s="1"/>
  <c r="T103" i="8" s="1"/>
  <c r="W103" i="8" s="1"/>
  <c r="Z103" i="8" s="1"/>
  <c r="AC103" i="8" s="1"/>
  <c r="AF103" i="8" s="1"/>
  <c r="AI103" i="8" s="1"/>
  <c r="J91" i="8"/>
  <c r="M91" i="8" s="1"/>
  <c r="P91" i="8" s="1"/>
  <c r="S91" i="8" s="1"/>
  <c r="V91" i="8" s="1"/>
  <c r="Y91" i="8" s="1"/>
  <c r="AB91" i="8" s="1"/>
  <c r="AE91" i="8" s="1"/>
  <c r="AH91" i="8" s="1"/>
  <c r="J83" i="8"/>
  <c r="M83" i="8" s="1"/>
  <c r="P83" i="8" s="1"/>
  <c r="S83" i="8" s="1"/>
  <c r="V83" i="8" s="1"/>
  <c r="Y83" i="8" s="1"/>
  <c r="AB83" i="8" s="1"/>
  <c r="AE83" i="8" s="1"/>
  <c r="AH83" i="8" s="1"/>
  <c r="J75" i="8"/>
  <c r="M75" i="8" s="1"/>
  <c r="P75" i="8" s="1"/>
  <c r="S75" i="8" s="1"/>
  <c r="V75" i="8" s="1"/>
  <c r="Y75" i="8" s="1"/>
  <c r="AB75" i="8" s="1"/>
  <c r="AE75" i="8" s="1"/>
  <c r="AH75" i="8" s="1"/>
  <c r="J64" i="8"/>
  <c r="M64" i="8" s="1"/>
  <c r="P64" i="8" s="1"/>
  <c r="S64" i="8" s="1"/>
  <c r="V64" i="8" s="1"/>
  <c r="Y64" i="8" s="1"/>
  <c r="AB64" i="8" s="1"/>
  <c r="AE64" i="8" s="1"/>
  <c r="AH64" i="8" s="1"/>
  <c r="J56" i="8"/>
  <c r="M56" i="8" s="1"/>
  <c r="P56" i="8" s="1"/>
  <c r="S56" i="8" s="1"/>
  <c r="V56" i="8" s="1"/>
  <c r="Y56" i="8" s="1"/>
  <c r="AB56" i="8" s="1"/>
  <c r="AE56" i="8" s="1"/>
  <c r="AH56" i="8" s="1"/>
  <c r="L37" i="8"/>
  <c r="O37" i="8" s="1"/>
  <c r="R37" i="8" s="1"/>
  <c r="U37" i="8" s="1"/>
  <c r="X37" i="8" s="1"/>
  <c r="AA37" i="8" s="1"/>
  <c r="AD37" i="8" s="1"/>
  <c r="AG37" i="8" s="1"/>
  <c r="AJ37" i="8" s="1"/>
  <c r="J45" i="8"/>
  <c r="M45" i="8" s="1"/>
  <c r="P45" i="8" s="1"/>
  <c r="S45" i="8" s="1"/>
  <c r="V45" i="8" s="1"/>
  <c r="Y45" i="8" s="1"/>
  <c r="AB45" i="8" s="1"/>
  <c r="AE45" i="8" s="1"/>
  <c r="AH45" i="8" s="1"/>
  <c r="L9" i="8"/>
  <c r="O9" i="8" s="1"/>
  <c r="R9" i="8" s="1"/>
  <c r="U9" i="8" s="1"/>
  <c r="X9" i="8" s="1"/>
  <c r="AA9" i="8" s="1"/>
  <c r="AD9" i="8" s="1"/>
  <c r="J15" i="8"/>
  <c r="M15" i="8" s="1"/>
  <c r="P15" i="8" s="1"/>
  <c r="S15" i="8" s="1"/>
  <c r="V15" i="8" s="1"/>
  <c r="Y15" i="8" s="1"/>
  <c r="AB15" i="8" s="1"/>
  <c r="AE15" i="8" s="1"/>
  <c r="AH15" i="8" s="1"/>
  <c r="L21" i="8"/>
  <c r="O21" i="8" s="1"/>
  <c r="R21" i="8" s="1"/>
  <c r="U21" i="8" s="1"/>
  <c r="X21" i="8" s="1"/>
  <c r="AA21" i="8" s="1"/>
  <c r="AD21" i="8" s="1"/>
  <c r="AG21" i="8" s="1"/>
  <c r="AJ21" i="8" s="1"/>
  <c r="J215" i="8"/>
  <c r="M215" i="8" s="1"/>
  <c r="P215" i="8" s="1"/>
  <c r="S215" i="8" s="1"/>
  <c r="V215" i="8" s="1"/>
  <c r="Y215" i="8" s="1"/>
  <c r="AB215" i="8" s="1"/>
  <c r="AE215" i="8" s="1"/>
  <c r="AH215" i="8" s="1"/>
  <c r="J196" i="8"/>
  <c r="M196" i="8" s="1"/>
  <c r="P196" i="8" s="1"/>
  <c r="S196" i="8" s="1"/>
  <c r="V196" i="8" s="1"/>
  <c r="Y196" i="8" s="1"/>
  <c r="AB196" i="8" s="1"/>
  <c r="AE196" i="8" s="1"/>
  <c r="AH196" i="8" s="1"/>
  <c r="J179" i="8"/>
  <c r="M179" i="8" s="1"/>
  <c r="P179" i="8" s="1"/>
  <c r="S179" i="8" s="1"/>
  <c r="V179" i="8" s="1"/>
  <c r="Y179" i="8" s="1"/>
  <c r="AB179" i="8" s="1"/>
  <c r="AE179" i="8" s="1"/>
  <c r="AH179" i="8" s="1"/>
  <c r="J167" i="8"/>
  <c r="M167" i="8" s="1"/>
  <c r="P167" i="8" s="1"/>
  <c r="S167" i="8" s="1"/>
  <c r="V167" i="8" s="1"/>
  <c r="Y167" i="8" s="1"/>
  <c r="AB167" i="8" s="1"/>
  <c r="AE167" i="8" s="1"/>
  <c r="AH167" i="8" s="1"/>
  <c r="J152" i="8"/>
  <c r="M152" i="8" s="1"/>
  <c r="P152" i="8" s="1"/>
  <c r="S152" i="8" s="1"/>
  <c r="V152" i="8" s="1"/>
  <c r="Y152" i="8" s="1"/>
  <c r="AB152" i="8" s="1"/>
  <c r="AE152" i="8" s="1"/>
  <c r="AH152" i="8" s="1"/>
  <c r="J140" i="8"/>
  <c r="M140" i="8" s="1"/>
  <c r="P140" i="8" s="1"/>
  <c r="S140" i="8" s="1"/>
  <c r="V140" i="8" s="1"/>
  <c r="Y140" i="8" s="1"/>
  <c r="AB140" i="8" s="1"/>
  <c r="AE140" i="8" s="1"/>
  <c r="AH140" i="8" s="1"/>
  <c r="K126" i="8"/>
  <c r="N126" i="8" s="1"/>
  <c r="Q126" i="8" s="1"/>
  <c r="T126" i="8" s="1"/>
  <c r="W126" i="8" s="1"/>
  <c r="Z126" i="8" s="1"/>
  <c r="AC126" i="8" s="1"/>
  <c r="AF126" i="8" s="1"/>
  <c r="AI126" i="8" s="1"/>
  <c r="J112" i="8"/>
  <c r="M112" i="8" s="1"/>
  <c r="P112" i="8" s="1"/>
  <c r="S112" i="8" s="1"/>
  <c r="V112" i="8" s="1"/>
  <c r="Y112" i="8" s="1"/>
  <c r="AB112" i="8" s="1"/>
  <c r="AE112" i="8" s="1"/>
  <c r="AH112" i="8" s="1"/>
  <c r="L89" i="8"/>
  <c r="O89" i="8" s="1"/>
  <c r="R89" i="8" s="1"/>
  <c r="U89" i="8" s="1"/>
  <c r="X89" i="8" s="1"/>
  <c r="AA89" i="8" s="1"/>
  <c r="AD89" i="8" s="1"/>
  <c r="AG89" i="8" s="1"/>
  <c r="AJ89" i="8" s="1"/>
  <c r="L81" i="8"/>
  <c r="O81" i="8" s="1"/>
  <c r="R81" i="8" s="1"/>
  <c r="U81" i="8" s="1"/>
  <c r="X81" i="8" s="1"/>
  <c r="AA81" i="8" s="1"/>
  <c r="AD81" i="8" s="1"/>
  <c r="AG81" i="8" s="1"/>
  <c r="AJ81" i="8" s="1"/>
  <c r="L62" i="8"/>
  <c r="O62" i="8" s="1"/>
  <c r="R62" i="8" s="1"/>
  <c r="U62" i="8" s="1"/>
  <c r="X62" i="8" s="1"/>
  <c r="AA62" i="8" s="1"/>
  <c r="AD62" i="8" s="1"/>
  <c r="AG62" i="8" s="1"/>
  <c r="AJ62" i="8" s="1"/>
  <c r="J39" i="8"/>
  <c r="M39" i="8" s="1"/>
  <c r="P39" i="8" s="1"/>
  <c r="S39" i="8" s="1"/>
  <c r="V39" i="8" s="1"/>
  <c r="Y39" i="8" s="1"/>
  <c r="AB39" i="8" s="1"/>
  <c r="AE39" i="8" s="1"/>
  <c r="AH39" i="8" s="1"/>
  <c r="J10" i="8"/>
  <c r="M10" i="8" s="1"/>
  <c r="P10" i="8" s="1"/>
  <c r="S10" i="8" s="1"/>
  <c r="V10" i="8" s="1"/>
  <c r="Y10" i="8" s="1"/>
  <c r="AB10" i="8" s="1"/>
  <c r="AE10" i="8" s="1"/>
  <c r="AH10" i="8" s="1"/>
  <c r="K15" i="8"/>
  <c r="N15" i="8" s="1"/>
  <c r="Q15" i="8" s="1"/>
  <c r="T15" i="8" s="1"/>
  <c r="W15" i="8" s="1"/>
  <c r="Z15" i="8" s="1"/>
  <c r="AC15" i="8" s="1"/>
  <c r="AF15" i="8" s="1"/>
  <c r="AI15" i="8" s="1"/>
  <c r="K165" i="8"/>
  <c r="N165" i="8" s="1"/>
  <c r="Q165" i="8" s="1"/>
  <c r="T165" i="8" s="1"/>
  <c r="W165" i="8" s="1"/>
  <c r="Z165" i="8" s="1"/>
  <c r="AC165" i="8" s="1"/>
  <c r="AF165" i="8" s="1"/>
  <c r="AI165" i="8" s="1"/>
  <c r="K135" i="8"/>
  <c r="N135" i="8" s="1"/>
  <c r="Q135" i="8" s="1"/>
  <c r="T135" i="8" s="1"/>
  <c r="W135" i="8" s="1"/>
  <c r="Z135" i="8" s="1"/>
  <c r="AC135" i="8" s="1"/>
  <c r="AF135" i="8" s="1"/>
  <c r="AI135" i="8" s="1"/>
  <c r="K111" i="8"/>
  <c r="N111" i="8" s="1"/>
  <c r="Q111" i="8" s="1"/>
  <c r="T111" i="8" s="1"/>
  <c r="W111" i="8" s="1"/>
  <c r="Z111" i="8" s="1"/>
  <c r="AC111" i="8" s="1"/>
  <c r="AF111" i="8" s="1"/>
  <c r="AI111" i="8" s="1"/>
  <c r="K89" i="8"/>
  <c r="N89" i="8" s="1"/>
  <c r="Q89" i="8" s="1"/>
  <c r="T89" i="8" s="1"/>
  <c r="W89" i="8" s="1"/>
  <c r="Z89" i="8" s="1"/>
  <c r="AC89" i="8" s="1"/>
  <c r="AF89" i="8" s="1"/>
  <c r="AI89" i="8" s="1"/>
  <c r="K62" i="8"/>
  <c r="N62" i="8" s="1"/>
  <c r="Q62" i="8" s="1"/>
  <c r="T62" i="8" s="1"/>
  <c r="W62" i="8" s="1"/>
  <c r="Z62" i="8" s="1"/>
  <c r="AC62" i="8" s="1"/>
  <c r="AF62" i="8" s="1"/>
  <c r="AI62" i="8" s="1"/>
  <c r="K39" i="8"/>
  <c r="N39" i="8" s="1"/>
  <c r="Q39" i="8" s="1"/>
  <c r="T39" i="8" s="1"/>
  <c r="W39" i="8" s="1"/>
  <c r="Z39" i="8" s="1"/>
  <c r="AC39" i="8" s="1"/>
  <c r="AF39" i="8" s="1"/>
  <c r="AI39" i="8" s="1"/>
  <c r="K214" i="8"/>
  <c r="N214" i="8" s="1"/>
  <c r="Q214" i="8" s="1"/>
  <c r="T214" i="8" s="1"/>
  <c r="W214" i="8" s="1"/>
  <c r="Z214" i="8" s="1"/>
  <c r="AC214" i="8" s="1"/>
  <c r="AF214" i="8" s="1"/>
  <c r="AI214" i="8" s="1"/>
  <c r="K223" i="8"/>
  <c r="N223" i="8" s="1"/>
  <c r="Q223" i="8" s="1"/>
  <c r="T223" i="8" s="1"/>
  <c r="W223" i="8" s="1"/>
  <c r="Z223" i="8" s="1"/>
  <c r="AC223" i="8" s="1"/>
  <c r="AF223" i="8" s="1"/>
  <c r="AI223" i="8" s="1"/>
  <c r="J223" i="8"/>
  <c r="M223" i="8" s="1"/>
  <c r="P223" i="8" s="1"/>
  <c r="S223" i="8" s="1"/>
  <c r="V223" i="8" s="1"/>
  <c r="Y223" i="8" s="1"/>
  <c r="AB223" i="8" s="1"/>
  <c r="AE223" i="8" s="1"/>
  <c r="AH223" i="8" s="1"/>
  <c r="K210" i="8"/>
  <c r="N210" i="8" s="1"/>
  <c r="Q210" i="8" s="1"/>
  <c r="T210" i="8" s="1"/>
  <c r="W210" i="8" s="1"/>
  <c r="Z210" i="8" s="1"/>
  <c r="AC210" i="8" s="1"/>
  <c r="AF210" i="8" s="1"/>
  <c r="AI210" i="8" s="1"/>
  <c r="J175" i="8"/>
  <c r="M175" i="8" s="1"/>
  <c r="P175" i="8" s="1"/>
  <c r="S175" i="8" s="1"/>
  <c r="V175" i="8" s="1"/>
  <c r="Y175" i="8" s="1"/>
  <c r="AB175" i="8" s="1"/>
  <c r="AE175" i="8" s="1"/>
  <c r="AH175" i="8" s="1"/>
  <c r="J148" i="8"/>
  <c r="M148" i="8" s="1"/>
  <c r="P148" i="8" s="1"/>
  <c r="S148" i="8" s="1"/>
  <c r="V148" i="8" s="1"/>
  <c r="Y148" i="8" s="1"/>
  <c r="AB148" i="8" s="1"/>
  <c r="AE148" i="8" s="1"/>
  <c r="AH148" i="8" s="1"/>
  <c r="K122" i="8"/>
  <c r="N122" i="8" s="1"/>
  <c r="Q122" i="8" s="1"/>
  <c r="T122" i="8" s="1"/>
  <c r="W122" i="8" s="1"/>
  <c r="Z122" i="8" s="1"/>
  <c r="AC122" i="8" s="1"/>
  <c r="AF122" i="8" s="1"/>
  <c r="AI122" i="8" s="1"/>
  <c r="K99" i="8"/>
  <c r="N99" i="8" s="1"/>
  <c r="Q99" i="8" s="1"/>
  <c r="T99" i="8" s="1"/>
  <c r="W99" i="8" s="1"/>
  <c r="Z99" i="8" s="1"/>
  <c r="AC99" i="8" s="1"/>
  <c r="AF99" i="8" s="1"/>
  <c r="AI99" i="8" s="1"/>
  <c r="L79" i="8"/>
  <c r="O79" i="8" s="1"/>
  <c r="R79" i="8" s="1"/>
  <c r="U79" i="8" s="1"/>
  <c r="X79" i="8" s="1"/>
  <c r="AA79" i="8" s="1"/>
  <c r="AD79" i="8" s="1"/>
  <c r="AG79" i="8" s="1"/>
  <c r="AJ79" i="8" s="1"/>
  <c r="L60" i="8"/>
  <c r="O60" i="8" s="1"/>
  <c r="R60" i="8" s="1"/>
  <c r="U60" i="8" s="1"/>
  <c r="X60" i="8" s="1"/>
  <c r="AA60" i="8" s="1"/>
  <c r="AD60" i="8" s="1"/>
  <c r="AG60" i="8" s="1"/>
  <c r="AJ60" i="8" s="1"/>
  <c r="J41" i="8"/>
  <c r="M41" i="8" s="1"/>
  <c r="P41" i="8" s="1"/>
  <c r="S41" i="8" s="1"/>
  <c r="V41" i="8" s="1"/>
  <c r="Y41" i="8" s="1"/>
  <c r="AB41" i="8" s="1"/>
  <c r="AE41" i="8" s="1"/>
  <c r="AH41" i="8" s="1"/>
  <c r="L17" i="8"/>
  <c r="O17" i="8" s="1"/>
  <c r="R17" i="8" s="1"/>
  <c r="U17" i="8" s="1"/>
  <c r="X17" i="8" s="1"/>
  <c r="AA17" i="8" s="1"/>
  <c r="AD17" i="8" s="1"/>
  <c r="AG17" i="8" s="1"/>
  <c r="AJ17" i="8" s="1"/>
  <c r="L58" i="8"/>
  <c r="O58" i="8" s="1"/>
  <c r="R58" i="8" s="1"/>
  <c r="U58" i="8" s="1"/>
  <c r="X58" i="8" s="1"/>
  <c r="AA58" i="8" s="1"/>
  <c r="AD58" i="8" s="1"/>
  <c r="AG58" i="8" s="1"/>
  <c r="AJ58" i="8" s="1"/>
  <c r="K18" i="8"/>
  <c r="N18" i="8" s="1"/>
  <c r="Q18" i="8" s="1"/>
  <c r="T18" i="8" s="1"/>
  <c r="W18" i="8" s="1"/>
  <c r="Z18" i="8" s="1"/>
  <c r="AC18" i="8" s="1"/>
  <c r="AF18" i="8" s="1"/>
  <c r="AI18" i="8" s="1"/>
  <c r="K192" i="8"/>
  <c r="N192" i="8" s="1"/>
  <c r="Q192" i="8" s="1"/>
  <c r="T192" i="8" s="1"/>
  <c r="W192" i="8" s="1"/>
  <c r="Z192" i="8" s="1"/>
  <c r="AC192" i="8" s="1"/>
  <c r="AF192" i="8" s="1"/>
  <c r="AI192" i="8" s="1"/>
  <c r="J89" i="8"/>
  <c r="M89" i="8" s="1"/>
  <c r="P89" i="8" s="1"/>
  <c r="S89" i="8" s="1"/>
  <c r="V89" i="8" s="1"/>
  <c r="Y89" i="8" s="1"/>
  <c r="AB89" i="8" s="1"/>
  <c r="AE89" i="8" s="1"/>
  <c r="AH89" i="8" s="1"/>
  <c r="K134" i="8"/>
  <c r="N134" i="8" s="1"/>
  <c r="Q134" i="8" s="1"/>
  <c r="T134" i="8" s="1"/>
  <c r="W134" i="8" s="1"/>
  <c r="Z134" i="8" s="1"/>
  <c r="AC134" i="8" s="1"/>
  <c r="AF134" i="8" s="1"/>
  <c r="AI134" i="8" s="1"/>
  <c r="K69" i="8"/>
  <c r="N69" i="8" s="1"/>
  <c r="Q69" i="8" s="1"/>
  <c r="T69" i="8" s="1"/>
  <c r="W69" i="8" s="1"/>
  <c r="Z69" i="8" s="1"/>
  <c r="AC69" i="8" s="1"/>
  <c r="AF69" i="8" s="1"/>
  <c r="AI69" i="8" s="1"/>
  <c r="K32" i="8"/>
  <c r="N32" i="8" s="1"/>
  <c r="Q32" i="8" s="1"/>
  <c r="T32" i="8" s="1"/>
  <c r="W32" i="8" s="1"/>
  <c r="Z32" i="8" s="1"/>
  <c r="AC32" i="8" s="1"/>
  <c r="AF32" i="8" s="1"/>
  <c r="AI32" i="8" s="1"/>
  <c r="J11" i="8"/>
  <c r="M11" i="8" s="1"/>
  <c r="P11" i="8" s="1"/>
  <c r="S11" i="8" s="1"/>
  <c r="V11" i="8" s="1"/>
  <c r="Y11" i="8" s="1"/>
  <c r="AB11" i="8" s="1"/>
  <c r="AE11" i="8" s="1"/>
  <c r="AH11" i="8" s="1"/>
  <c r="K108" i="8"/>
  <c r="N108" i="8" s="1"/>
  <c r="Q108" i="8" s="1"/>
  <c r="T108" i="8" s="1"/>
  <c r="W108" i="8" s="1"/>
  <c r="Z108" i="8" s="1"/>
  <c r="AC108" i="8" s="1"/>
  <c r="AF108" i="8" s="1"/>
  <c r="AI108" i="8" s="1"/>
  <c r="K11" i="8"/>
  <c r="N11" i="8" s="1"/>
  <c r="Q11" i="8" s="1"/>
  <c r="T11" i="8" s="1"/>
  <c r="W11" i="8" s="1"/>
  <c r="Z11" i="8" s="1"/>
  <c r="AC11" i="8" s="1"/>
  <c r="AF11" i="8" s="1"/>
  <c r="AI11" i="8" s="1"/>
  <c r="J87" i="8"/>
  <c r="M87" i="8" s="1"/>
  <c r="P87" i="8" s="1"/>
  <c r="S87" i="8" s="1"/>
  <c r="V87" i="8" s="1"/>
  <c r="Y87" i="8" s="1"/>
  <c r="AB87" i="8" s="1"/>
  <c r="AE87" i="8" s="1"/>
  <c r="AH87" i="8" s="1"/>
  <c r="L33" i="8"/>
  <c r="O33" i="8" s="1"/>
  <c r="R33" i="8" s="1"/>
  <c r="U33" i="8" s="1"/>
  <c r="X33" i="8" s="1"/>
  <c r="AA33" i="8" s="1"/>
  <c r="AD33" i="8" s="1"/>
  <c r="AG33" i="8" s="1"/>
  <c r="AJ33" i="8" s="1"/>
  <c r="K80" i="8"/>
  <c r="N80" i="8" s="1"/>
  <c r="Q80" i="8" s="1"/>
  <c r="T80" i="8" s="1"/>
  <c r="W80" i="8" s="1"/>
  <c r="Z80" i="8" s="1"/>
  <c r="AC80" i="8" s="1"/>
  <c r="AF80" i="8" s="1"/>
  <c r="AI80" i="8" s="1"/>
  <c r="K207" i="8"/>
  <c r="N207" i="8" s="1"/>
  <c r="Q207" i="8" s="1"/>
  <c r="T207" i="8" s="1"/>
  <c r="W207" i="8" s="1"/>
  <c r="Z207" i="8" s="1"/>
  <c r="AC207" i="8" s="1"/>
  <c r="AF207" i="8" s="1"/>
  <c r="AI207" i="8" s="1"/>
  <c r="K173" i="8"/>
  <c r="N173" i="8" s="1"/>
  <c r="Q173" i="8" s="1"/>
  <c r="T173" i="8" s="1"/>
  <c r="W173" i="8" s="1"/>
  <c r="Z173" i="8" s="1"/>
  <c r="AC173" i="8" s="1"/>
  <c r="AF173" i="8" s="1"/>
  <c r="AI173" i="8" s="1"/>
  <c r="K146" i="8"/>
  <c r="N146" i="8" s="1"/>
  <c r="Q146" i="8" s="1"/>
  <c r="T146" i="8" s="1"/>
  <c r="W146" i="8" s="1"/>
  <c r="Z146" i="8" s="1"/>
  <c r="AC146" i="8" s="1"/>
  <c r="AF146" i="8" s="1"/>
  <c r="AI146" i="8" s="1"/>
  <c r="J121" i="8"/>
  <c r="M121" i="8" s="1"/>
  <c r="P121" i="8" s="1"/>
  <c r="S121" i="8" s="1"/>
  <c r="V121" i="8" s="1"/>
  <c r="Y121" i="8" s="1"/>
  <c r="AB121" i="8" s="1"/>
  <c r="AE121" i="8" s="1"/>
  <c r="AH121" i="8" s="1"/>
  <c r="J98" i="8"/>
  <c r="M98" i="8" s="1"/>
  <c r="P98" i="8" s="1"/>
  <c r="S98" i="8" s="1"/>
  <c r="V98" i="8" s="1"/>
  <c r="Y98" i="8" s="1"/>
  <c r="AB98" i="8" s="1"/>
  <c r="AE98" i="8" s="1"/>
  <c r="AH98" i="8" s="1"/>
  <c r="J79" i="8"/>
  <c r="M79" i="8" s="1"/>
  <c r="P79" i="8" s="1"/>
  <c r="S79" i="8" s="1"/>
  <c r="V79" i="8" s="1"/>
  <c r="Y79" i="8" s="1"/>
  <c r="AB79" i="8" s="1"/>
  <c r="AE79" i="8" s="1"/>
  <c r="AH79" i="8" s="1"/>
  <c r="J60" i="8"/>
  <c r="M60" i="8" s="1"/>
  <c r="P60" i="8" s="1"/>
  <c r="S60" i="8" s="1"/>
  <c r="V60" i="8" s="1"/>
  <c r="Y60" i="8" s="1"/>
  <c r="AB60" i="8" s="1"/>
  <c r="AE60" i="8" s="1"/>
  <c r="AH60" i="8" s="1"/>
  <c r="L41" i="8"/>
  <c r="O41" i="8" s="1"/>
  <c r="R41" i="8" s="1"/>
  <c r="U41" i="8" s="1"/>
  <c r="X41" i="8" s="1"/>
  <c r="AA41" i="8" s="1"/>
  <c r="AD41" i="8" s="1"/>
  <c r="AG41" i="8" s="1"/>
  <c r="AJ41" i="8" s="1"/>
  <c r="J18" i="8"/>
  <c r="M18" i="8" s="1"/>
  <c r="P18" i="8" s="1"/>
  <c r="S18" i="8" s="1"/>
  <c r="V18" i="8" s="1"/>
  <c r="Y18" i="8" s="1"/>
  <c r="AB18" i="8" s="1"/>
  <c r="AE18" i="8" s="1"/>
  <c r="AH18" i="8" s="1"/>
  <c r="J207" i="8"/>
  <c r="M207" i="8" s="1"/>
  <c r="P207" i="8" s="1"/>
  <c r="S207" i="8" s="1"/>
  <c r="V207" i="8" s="1"/>
  <c r="Y207" i="8" s="1"/>
  <c r="AB207" i="8" s="1"/>
  <c r="AE207" i="8" s="1"/>
  <c r="AH207" i="8" s="1"/>
  <c r="J173" i="8"/>
  <c r="M173" i="8" s="1"/>
  <c r="P173" i="8" s="1"/>
  <c r="S173" i="8" s="1"/>
  <c r="V173" i="8" s="1"/>
  <c r="Y173" i="8" s="1"/>
  <c r="AB173" i="8" s="1"/>
  <c r="AE173" i="8" s="1"/>
  <c r="AH173" i="8" s="1"/>
  <c r="J146" i="8"/>
  <c r="M146" i="8" s="1"/>
  <c r="P146" i="8" s="1"/>
  <c r="S146" i="8" s="1"/>
  <c r="V146" i="8" s="1"/>
  <c r="Y146" i="8" s="1"/>
  <c r="AB146" i="8" s="1"/>
  <c r="AE146" i="8" s="1"/>
  <c r="AH146" i="8" s="1"/>
  <c r="L119" i="8"/>
  <c r="O119" i="8" s="1"/>
  <c r="R119" i="8" s="1"/>
  <c r="U119" i="8" s="1"/>
  <c r="X119" i="8" s="1"/>
  <c r="AA119" i="8" s="1"/>
  <c r="AD119" i="8" s="1"/>
  <c r="AG119" i="8" s="1"/>
  <c r="AJ119" i="8" s="1"/>
  <c r="L96" i="8"/>
  <c r="O96" i="8" s="1"/>
  <c r="R96" i="8" s="1"/>
  <c r="U96" i="8" s="1"/>
  <c r="X96" i="8" s="1"/>
  <c r="AA96" i="8" s="1"/>
  <c r="AD96" i="8" s="1"/>
  <c r="AG96" i="8" s="1"/>
  <c r="AJ96" i="8" s="1"/>
  <c r="L77" i="8"/>
  <c r="O77" i="8" s="1"/>
  <c r="R77" i="8" s="1"/>
  <c r="U77" i="8" s="1"/>
  <c r="X77" i="8" s="1"/>
  <c r="AA77" i="8" s="1"/>
  <c r="AD77" i="8" s="1"/>
  <c r="AG77" i="8" s="1"/>
  <c r="AJ77" i="8" s="1"/>
  <c r="J43" i="8"/>
  <c r="M43" i="8" s="1"/>
  <c r="P43" i="8" s="1"/>
  <c r="S43" i="8" s="1"/>
  <c r="V43" i="8" s="1"/>
  <c r="Y43" i="8" s="1"/>
  <c r="AB43" i="8" s="1"/>
  <c r="AE43" i="8" s="1"/>
  <c r="AH43" i="8" s="1"/>
  <c r="J165" i="8"/>
  <c r="M165" i="8" s="1"/>
  <c r="P165" i="8" s="1"/>
  <c r="S165" i="8" s="1"/>
  <c r="V165" i="8" s="1"/>
  <c r="Y165" i="8" s="1"/>
  <c r="AB165" i="8" s="1"/>
  <c r="AE165" i="8" s="1"/>
  <c r="AH165" i="8" s="1"/>
  <c r="J70" i="8"/>
  <c r="M70" i="8" s="1"/>
  <c r="P70" i="8" s="1"/>
  <c r="S70" i="8" s="1"/>
  <c r="V70" i="8" s="1"/>
  <c r="Y70" i="8" s="1"/>
  <c r="AB70" i="8" s="1"/>
  <c r="AE70" i="8" s="1"/>
  <c r="AH70" i="8" s="1"/>
  <c r="L31" i="8"/>
  <c r="O31" i="8" s="1"/>
  <c r="R31" i="8" s="1"/>
  <c r="U31" i="8" s="1"/>
  <c r="X31" i="8" s="1"/>
  <c r="AA31" i="8" s="1"/>
  <c r="AD31" i="8" s="1"/>
  <c r="AG31" i="8" s="1"/>
  <c r="AJ31" i="8" s="1"/>
  <c r="J19" i="8"/>
  <c r="M19" i="8" s="1"/>
  <c r="P19" i="8" s="1"/>
  <c r="S19" i="8" s="1"/>
  <c r="V19" i="8" s="1"/>
  <c r="Y19" i="8" s="1"/>
  <c r="AB19" i="8" s="1"/>
  <c r="AE19" i="8" s="1"/>
  <c r="AH19" i="8" s="1"/>
  <c r="J192" i="8"/>
  <c r="M192" i="8" s="1"/>
  <c r="P192" i="8" s="1"/>
  <c r="S192" i="8" s="1"/>
  <c r="V192" i="8" s="1"/>
  <c r="Y192" i="8" s="1"/>
  <c r="AB192" i="8" s="1"/>
  <c r="AE192" i="8" s="1"/>
  <c r="AH192" i="8" s="1"/>
  <c r="K88" i="8"/>
  <c r="N88" i="8" s="1"/>
  <c r="Q88" i="8" s="1"/>
  <c r="T88" i="8" s="1"/>
  <c r="W88" i="8" s="1"/>
  <c r="Z88" i="8" s="1"/>
  <c r="AC88" i="8" s="1"/>
  <c r="AF88" i="8" s="1"/>
  <c r="AI88" i="8" s="1"/>
  <c r="K22" i="8"/>
  <c r="N22" i="8" s="1"/>
  <c r="Q22" i="8" s="1"/>
  <c r="T22" i="8" s="1"/>
  <c r="W22" i="8" s="1"/>
  <c r="Z22" i="8" s="1"/>
  <c r="AC22" i="8" s="1"/>
  <c r="AF22" i="8" s="1"/>
  <c r="AI22" i="8" s="1"/>
  <c r="K191" i="8"/>
  <c r="N191" i="8" s="1"/>
  <c r="Q191" i="8" s="1"/>
  <c r="T191" i="8" s="1"/>
  <c r="W191" i="8" s="1"/>
  <c r="Z191" i="8" s="1"/>
  <c r="AC191" i="8" s="1"/>
  <c r="AF191" i="8" s="1"/>
  <c r="AI191" i="8" s="1"/>
  <c r="L87" i="8"/>
  <c r="O87" i="8" s="1"/>
  <c r="R87" i="8" s="1"/>
  <c r="U87" i="8" s="1"/>
  <c r="X87" i="8" s="1"/>
  <c r="AA87" i="8" s="1"/>
  <c r="AD87" i="8" s="1"/>
  <c r="AG87" i="8" s="1"/>
  <c r="AJ87" i="8" s="1"/>
  <c r="J33" i="8"/>
  <c r="M33" i="8" s="1"/>
  <c r="P33" i="8" s="1"/>
  <c r="S33" i="8" s="1"/>
  <c r="V33" i="8" s="1"/>
  <c r="Y33" i="8" s="1"/>
  <c r="AB33" i="8" s="1"/>
  <c r="AE33" i="8" s="1"/>
  <c r="AH33" i="8" s="1"/>
  <c r="K188" i="8"/>
  <c r="N188" i="8" s="1"/>
  <c r="Q188" i="8" s="1"/>
  <c r="T188" i="8" s="1"/>
  <c r="W188" i="8" s="1"/>
  <c r="Z188" i="8" s="1"/>
  <c r="AC188" i="8" s="1"/>
  <c r="AF188" i="8" s="1"/>
  <c r="AI188" i="8" s="1"/>
  <c r="K131" i="8"/>
  <c r="N131" i="8" s="1"/>
  <c r="Q131" i="8" s="1"/>
  <c r="T131" i="8" s="1"/>
  <c r="W131" i="8" s="1"/>
  <c r="Z131" i="8" s="1"/>
  <c r="AC131" i="8" s="1"/>
  <c r="AF131" i="8" s="1"/>
  <c r="AI131" i="8" s="1"/>
  <c r="J52" i="8"/>
  <c r="M52" i="8" s="1"/>
  <c r="P52" i="8" s="1"/>
  <c r="S52" i="8" s="1"/>
  <c r="V52" i="8" s="1"/>
  <c r="Y52" i="8" s="1"/>
  <c r="AB52" i="8" s="1"/>
  <c r="AE52" i="8" s="1"/>
  <c r="AH52" i="8" s="1"/>
  <c r="J23" i="8"/>
  <c r="M23" i="8" s="1"/>
  <c r="P23" i="8" s="1"/>
  <c r="S23" i="8" s="1"/>
  <c r="V23" i="8" s="1"/>
  <c r="Y23" i="8" s="1"/>
  <c r="AB23" i="8" s="1"/>
  <c r="AE23" i="8" s="1"/>
  <c r="AH23" i="8" s="1"/>
  <c r="J188" i="8"/>
  <c r="M188" i="8" s="1"/>
  <c r="P188" i="8" s="1"/>
  <c r="S188" i="8" s="1"/>
  <c r="V188" i="8" s="1"/>
  <c r="Y188" i="8" s="1"/>
  <c r="AB188" i="8" s="1"/>
  <c r="AE188" i="8" s="1"/>
  <c r="AH188" i="8" s="1"/>
  <c r="K107" i="8"/>
  <c r="N107" i="8" s="1"/>
  <c r="Q107" i="8" s="1"/>
  <c r="T107" i="8" s="1"/>
  <c r="W107" i="8" s="1"/>
  <c r="Z107" i="8" s="1"/>
  <c r="AC107" i="8" s="1"/>
  <c r="AF107" i="8" s="1"/>
  <c r="AI107" i="8" s="1"/>
  <c r="J35" i="8"/>
  <c r="M35" i="8" s="1"/>
  <c r="P35" i="8" s="1"/>
  <c r="S35" i="8" s="1"/>
  <c r="V35" i="8" s="1"/>
  <c r="Y35" i="8" s="1"/>
  <c r="AB35" i="8" s="1"/>
  <c r="AE35" i="8" s="1"/>
  <c r="AH35" i="8" s="1"/>
  <c r="K13" i="8"/>
  <c r="N13" i="8" s="1"/>
  <c r="Q13" i="8" s="1"/>
  <c r="T13" i="8" s="1"/>
  <c r="W13" i="8" s="1"/>
  <c r="Z13" i="8" s="1"/>
  <c r="AC13" i="8" s="1"/>
  <c r="AF13" i="8" s="1"/>
  <c r="AI13" i="8" s="1"/>
  <c r="K149" i="8"/>
  <c r="N149" i="8" s="1"/>
  <c r="Q149" i="8" s="1"/>
  <c r="T149" i="8" s="1"/>
  <c r="W149" i="8" s="1"/>
  <c r="Z149" i="8" s="1"/>
  <c r="AC149" i="8" s="1"/>
  <c r="AF149" i="8" s="1"/>
  <c r="AI149" i="8" s="1"/>
  <c r="K40" i="8"/>
  <c r="N40" i="8" s="1"/>
  <c r="Q40" i="8" s="1"/>
  <c r="T40" i="8" s="1"/>
  <c r="W40" i="8" s="1"/>
  <c r="Z40" i="8" s="1"/>
  <c r="AC40" i="8" s="1"/>
  <c r="AF40" i="8" s="1"/>
  <c r="AI40" i="8" s="1"/>
  <c r="J131" i="8"/>
  <c r="M131" i="8" s="1"/>
  <c r="P131" i="8" s="1"/>
  <c r="S131" i="8" s="1"/>
  <c r="V131" i="8" s="1"/>
  <c r="Y131" i="8" s="1"/>
  <c r="AB131" i="8" s="1"/>
  <c r="AE131" i="8" s="1"/>
  <c r="AH131" i="8" s="1"/>
  <c r="L39" i="8"/>
  <c r="O39" i="8" s="1"/>
  <c r="R39" i="8" s="1"/>
  <c r="U39" i="8" s="1"/>
  <c r="X39" i="8" s="1"/>
  <c r="AA39" i="8" s="1"/>
  <c r="AD39" i="8" s="1"/>
  <c r="AG39" i="8" s="1"/>
  <c r="AJ39" i="8" s="1"/>
  <c r="J16" i="8"/>
  <c r="M16" i="8" s="1"/>
  <c r="P16" i="8" s="1"/>
  <c r="S16" i="8" s="1"/>
  <c r="V16" i="8" s="1"/>
  <c r="Y16" i="8" s="1"/>
  <c r="AB16" i="8" s="1"/>
  <c r="AE16" i="8" s="1"/>
  <c r="AH16" i="8" s="1"/>
  <c r="K61" i="8"/>
  <c r="N61" i="8" s="1"/>
  <c r="Q61" i="8" s="1"/>
  <c r="T61" i="8" s="1"/>
  <c r="W61" i="8" s="1"/>
  <c r="Z61" i="8" s="1"/>
  <c r="AC61" i="8" s="1"/>
  <c r="AF61" i="8" s="1"/>
  <c r="AI61" i="8" s="1"/>
  <c r="K17" i="8"/>
  <c r="N17" i="8" s="1"/>
  <c r="Q17" i="8" s="1"/>
  <c r="T17" i="8" s="1"/>
  <c r="W17" i="8" s="1"/>
  <c r="Z17" i="8" s="1"/>
  <c r="AC17" i="8" s="1"/>
  <c r="AF17" i="8" s="1"/>
  <c r="AI17" i="8" s="1"/>
  <c r="K206" i="8"/>
  <c r="N206" i="8" s="1"/>
  <c r="Q206" i="8" s="1"/>
  <c r="T206" i="8" s="1"/>
  <c r="W206" i="8" s="1"/>
  <c r="Z206" i="8" s="1"/>
  <c r="AC206" i="8" s="1"/>
  <c r="AF206" i="8" s="1"/>
  <c r="AI206" i="8" s="1"/>
  <c r="K172" i="8"/>
  <c r="N172" i="8" s="1"/>
  <c r="Q172" i="8" s="1"/>
  <c r="T172" i="8" s="1"/>
  <c r="W172" i="8" s="1"/>
  <c r="Z172" i="8" s="1"/>
  <c r="AC172" i="8" s="1"/>
  <c r="AF172" i="8" s="1"/>
  <c r="AI172" i="8" s="1"/>
  <c r="K145" i="8"/>
  <c r="N145" i="8" s="1"/>
  <c r="Q145" i="8" s="1"/>
  <c r="T145" i="8" s="1"/>
  <c r="W145" i="8" s="1"/>
  <c r="Z145" i="8" s="1"/>
  <c r="AC145" i="8" s="1"/>
  <c r="AF145" i="8" s="1"/>
  <c r="AI145" i="8" s="1"/>
  <c r="K119" i="8"/>
  <c r="N119" i="8" s="1"/>
  <c r="Q119" i="8" s="1"/>
  <c r="T119" i="8" s="1"/>
  <c r="W119" i="8" s="1"/>
  <c r="Z119" i="8" s="1"/>
  <c r="AC119" i="8" s="1"/>
  <c r="AF119" i="8" s="1"/>
  <c r="AI119" i="8" s="1"/>
  <c r="K96" i="8"/>
  <c r="N96" i="8" s="1"/>
  <c r="Q96" i="8" s="1"/>
  <c r="T96" i="8" s="1"/>
  <c r="W96" i="8" s="1"/>
  <c r="Z96" i="8" s="1"/>
  <c r="AC96" i="8" s="1"/>
  <c r="AF96" i="8" s="1"/>
  <c r="AI96" i="8" s="1"/>
  <c r="K77" i="8"/>
  <c r="N77" i="8" s="1"/>
  <c r="Q77" i="8" s="1"/>
  <c r="T77" i="8" s="1"/>
  <c r="W77" i="8" s="1"/>
  <c r="Z77" i="8" s="1"/>
  <c r="AC77" i="8" s="1"/>
  <c r="AF77" i="8" s="1"/>
  <c r="AI77" i="8" s="1"/>
  <c r="K58" i="8"/>
  <c r="N58" i="8" s="1"/>
  <c r="Q58" i="8" s="1"/>
  <c r="T58" i="8" s="1"/>
  <c r="W58" i="8" s="1"/>
  <c r="Z58" i="8" s="1"/>
  <c r="AC58" i="8" s="1"/>
  <c r="AF58" i="8" s="1"/>
  <c r="AI58" i="8" s="1"/>
  <c r="K43" i="8"/>
  <c r="N43" i="8" s="1"/>
  <c r="Q43" i="8" s="1"/>
  <c r="T43" i="8" s="1"/>
  <c r="W43" i="8" s="1"/>
  <c r="Z43" i="8" s="1"/>
  <c r="AC43" i="8" s="1"/>
  <c r="AF43" i="8" s="1"/>
  <c r="AI43" i="8" s="1"/>
  <c r="K10" i="8"/>
  <c r="N10" i="8" s="1"/>
  <c r="Q10" i="8" s="1"/>
  <c r="T10" i="8" s="1"/>
  <c r="W10" i="8" s="1"/>
  <c r="Z10" i="8" s="1"/>
  <c r="AC10" i="8" s="1"/>
  <c r="AF10" i="8" s="1"/>
  <c r="AI10" i="8" s="1"/>
  <c r="L18" i="8"/>
  <c r="O18" i="8" s="1"/>
  <c r="R18" i="8" s="1"/>
  <c r="U18" i="8" s="1"/>
  <c r="X18" i="8" s="1"/>
  <c r="AA18" i="8" s="1"/>
  <c r="AD18" i="8" s="1"/>
  <c r="AG18" i="8" s="1"/>
  <c r="AJ18" i="8" s="1"/>
  <c r="J135" i="8"/>
  <c r="M135" i="8" s="1"/>
  <c r="P135" i="8" s="1"/>
  <c r="S135" i="8" s="1"/>
  <c r="V135" i="8" s="1"/>
  <c r="Y135" i="8" s="1"/>
  <c r="AB135" i="8" s="1"/>
  <c r="AE135" i="8" s="1"/>
  <c r="AH135" i="8" s="1"/>
  <c r="J110" i="8"/>
  <c r="M110" i="8" s="1"/>
  <c r="P110" i="8" s="1"/>
  <c r="S110" i="8" s="1"/>
  <c r="V110" i="8" s="1"/>
  <c r="Y110" i="8" s="1"/>
  <c r="AB110" i="8" s="1"/>
  <c r="AE110" i="8" s="1"/>
  <c r="AH110" i="8" s="1"/>
  <c r="J54" i="8"/>
  <c r="M54" i="8" s="1"/>
  <c r="P54" i="8" s="1"/>
  <c r="S54" i="8" s="1"/>
  <c r="V54" i="8" s="1"/>
  <c r="Y54" i="8" s="1"/>
  <c r="AB54" i="8" s="1"/>
  <c r="AE54" i="8" s="1"/>
  <c r="AH54" i="8" s="1"/>
  <c r="K47" i="8"/>
  <c r="N47" i="8" s="1"/>
  <c r="Q47" i="8" s="1"/>
  <c r="T47" i="8" s="1"/>
  <c r="W47" i="8" s="1"/>
  <c r="Z47" i="8" s="1"/>
  <c r="AC47" i="8" s="1"/>
  <c r="AF47" i="8" s="1"/>
  <c r="AI47" i="8" s="1"/>
  <c r="L10" i="8"/>
  <c r="O10" i="8" s="1"/>
  <c r="R10" i="8" s="1"/>
  <c r="U10" i="8" s="1"/>
  <c r="X10" i="8" s="1"/>
  <c r="AA10" i="8" s="1"/>
  <c r="AD10" i="8" s="1"/>
  <c r="AG10" i="8" s="1"/>
  <c r="AJ10" i="8" s="1"/>
  <c r="K164" i="8"/>
  <c r="N164" i="8" s="1"/>
  <c r="Q164" i="8" s="1"/>
  <c r="T164" i="8" s="1"/>
  <c r="W164" i="8" s="1"/>
  <c r="Z164" i="8" s="1"/>
  <c r="AC164" i="8" s="1"/>
  <c r="AF164" i="8" s="1"/>
  <c r="AI164" i="8" s="1"/>
  <c r="L108" i="8"/>
  <c r="O108" i="8" s="1"/>
  <c r="R108" i="8" s="1"/>
  <c r="U108" i="8" s="1"/>
  <c r="X108" i="8" s="1"/>
  <c r="AA108" i="8" s="1"/>
  <c r="AD108" i="8" s="1"/>
  <c r="AG108" i="8" s="1"/>
  <c r="AJ108" i="8" s="1"/>
  <c r="K53" i="8"/>
  <c r="N53" i="8" s="1"/>
  <c r="Q53" i="8" s="1"/>
  <c r="T53" i="8" s="1"/>
  <c r="W53" i="8" s="1"/>
  <c r="Z53" i="8" s="1"/>
  <c r="AC53" i="8" s="1"/>
  <c r="AF53" i="8" s="1"/>
  <c r="AI53" i="8" s="1"/>
  <c r="L47" i="8"/>
  <c r="O47" i="8" s="1"/>
  <c r="R47" i="8" s="1"/>
  <c r="U47" i="8" s="1"/>
  <c r="X47" i="8" s="1"/>
  <c r="AA47" i="8" s="1"/>
  <c r="AD47" i="8" s="1"/>
  <c r="AG47" i="8" s="1"/>
  <c r="AJ47" i="8" s="1"/>
  <c r="J163" i="8"/>
  <c r="M163" i="8" s="1"/>
  <c r="P163" i="8" s="1"/>
  <c r="S163" i="8" s="1"/>
  <c r="V163" i="8" s="1"/>
  <c r="Y163" i="8" s="1"/>
  <c r="AB163" i="8" s="1"/>
  <c r="AE163" i="8" s="1"/>
  <c r="AH163" i="8" s="1"/>
  <c r="L68" i="8"/>
  <c r="O68" i="8" s="1"/>
  <c r="R68" i="8" s="1"/>
  <c r="U68" i="8" s="1"/>
  <c r="X68" i="8" s="1"/>
  <c r="AA68" i="8" s="1"/>
  <c r="AD68" i="8" s="1"/>
  <c r="AG68" i="8" s="1"/>
  <c r="AJ68" i="8" s="1"/>
  <c r="L52" i="8"/>
  <c r="O52" i="8" s="1"/>
  <c r="R52" i="8" s="1"/>
  <c r="U52" i="8" s="1"/>
  <c r="X52" i="8" s="1"/>
  <c r="AA52" i="8" s="1"/>
  <c r="AD52" i="8" s="1"/>
  <c r="AG52" i="8" s="1"/>
  <c r="AJ52" i="8" s="1"/>
  <c r="J48" i="8"/>
  <c r="M48" i="8" s="1"/>
  <c r="P48" i="8" s="1"/>
  <c r="S48" i="8" s="1"/>
  <c r="V48" i="8" s="1"/>
  <c r="Y48" i="8" s="1"/>
  <c r="AB48" i="8" s="1"/>
  <c r="AE48" i="8" s="1"/>
  <c r="AH48" i="8" s="1"/>
  <c r="L22" i="8"/>
  <c r="O22" i="8" s="1"/>
  <c r="R22" i="8" s="1"/>
  <c r="U22" i="8" s="1"/>
  <c r="X22" i="8" s="1"/>
  <c r="AA22" i="8" s="1"/>
  <c r="AD22" i="8" s="1"/>
  <c r="AG22" i="8" s="1"/>
  <c r="AJ22" i="8" s="1"/>
  <c r="K158" i="8"/>
  <c r="N158" i="8" s="1"/>
  <c r="Q158" i="8" s="1"/>
  <c r="T158" i="8" s="1"/>
  <c r="W158" i="8" s="1"/>
  <c r="Z158" i="8" s="1"/>
  <c r="AC158" i="8" s="1"/>
  <c r="AF158" i="8" s="1"/>
  <c r="AI158" i="8" s="1"/>
  <c r="J108" i="8"/>
  <c r="M108" i="8" s="1"/>
  <c r="P108" i="8" s="1"/>
  <c r="S108" i="8" s="1"/>
  <c r="V108" i="8" s="1"/>
  <c r="Y108" i="8" s="1"/>
  <c r="AB108" i="8" s="1"/>
  <c r="AE108" i="8" s="1"/>
  <c r="AH108" i="8" s="1"/>
  <c r="J68" i="8"/>
  <c r="M68" i="8" s="1"/>
  <c r="P68" i="8" s="1"/>
  <c r="S68" i="8" s="1"/>
  <c r="V68" i="8" s="1"/>
  <c r="Y68" i="8" s="1"/>
  <c r="AB68" i="8" s="1"/>
  <c r="AE68" i="8" s="1"/>
  <c r="AH68" i="8" s="1"/>
  <c r="K48" i="8"/>
  <c r="N48" i="8" s="1"/>
  <c r="Q48" i="8" s="1"/>
  <c r="T48" i="8" s="1"/>
  <c r="W48" i="8" s="1"/>
  <c r="Z48" i="8" s="1"/>
  <c r="AC48" i="8" s="1"/>
  <c r="AF48" i="8" s="1"/>
  <c r="AI48" i="8" s="1"/>
  <c r="J158" i="8"/>
  <c r="M158" i="8" s="1"/>
  <c r="P158" i="8" s="1"/>
  <c r="S158" i="8" s="1"/>
  <c r="V158" i="8" s="1"/>
  <c r="Y158" i="8" s="1"/>
  <c r="AB158" i="8" s="1"/>
  <c r="AE158" i="8" s="1"/>
  <c r="AH158" i="8" s="1"/>
  <c r="L85" i="8"/>
  <c r="O85" i="8" s="1"/>
  <c r="R85" i="8" s="1"/>
  <c r="U85" i="8" s="1"/>
  <c r="X85" i="8" s="1"/>
  <c r="AA85" i="8" s="1"/>
  <c r="AD85" i="8" s="1"/>
  <c r="AG85" i="8" s="1"/>
  <c r="AJ85" i="8" s="1"/>
  <c r="L48" i="8"/>
  <c r="O48" i="8" s="1"/>
  <c r="R48" i="8" s="1"/>
  <c r="U48" i="8" s="1"/>
  <c r="X48" i="8" s="1"/>
  <c r="AA48" i="8" s="1"/>
  <c r="AD48" i="8" s="1"/>
  <c r="AG48" i="8" s="1"/>
  <c r="AJ48" i="8" s="1"/>
  <c r="K176" i="8"/>
  <c r="N176" i="8" s="1"/>
  <c r="Q176" i="8" s="1"/>
  <c r="T176" i="8" s="1"/>
  <c r="W176" i="8" s="1"/>
  <c r="Z176" i="8" s="1"/>
  <c r="AC176" i="8" s="1"/>
  <c r="AF176" i="8" s="1"/>
  <c r="AI176" i="8" s="1"/>
  <c r="L25" i="8"/>
  <c r="O25" i="8" s="1"/>
  <c r="R25" i="8" s="1"/>
  <c r="U25" i="8" s="1"/>
  <c r="X25" i="8" s="1"/>
  <c r="AA25" i="8" s="1"/>
  <c r="AD25" i="8" s="1"/>
  <c r="AG25" i="8" s="1"/>
  <c r="AJ25" i="8" s="1"/>
  <c r="J133" i="8"/>
  <c r="M133" i="8" s="1"/>
  <c r="P133" i="8" s="1"/>
  <c r="S133" i="8" s="1"/>
  <c r="V133" i="8" s="1"/>
  <c r="Y133" i="8" s="1"/>
  <c r="AB133" i="8" s="1"/>
  <c r="AE133" i="8" s="1"/>
  <c r="AH133" i="8" s="1"/>
  <c r="J12" i="8"/>
  <c r="M12" i="8" s="1"/>
  <c r="P12" i="8" s="1"/>
  <c r="S12" i="8" s="1"/>
  <c r="V12" i="8" s="1"/>
  <c r="Y12" i="8" s="1"/>
  <c r="AB12" i="8" s="1"/>
  <c r="AE12" i="8" s="1"/>
  <c r="AH12" i="8" s="1"/>
  <c r="L66" i="8"/>
  <c r="O66" i="8" s="1"/>
  <c r="R66" i="8" s="1"/>
  <c r="U66" i="8" s="1"/>
  <c r="X66" i="8" s="1"/>
  <c r="AA66" i="8" s="1"/>
  <c r="AD66" i="8" s="1"/>
  <c r="AG66" i="8" s="1"/>
  <c r="AJ66" i="8" s="1"/>
  <c r="K23" i="8"/>
  <c r="N23" i="8" s="1"/>
  <c r="Q23" i="8" s="1"/>
  <c r="T23" i="8" s="1"/>
  <c r="W23" i="8" s="1"/>
  <c r="Z23" i="8" s="1"/>
  <c r="AC23" i="8" s="1"/>
  <c r="AF23" i="8" s="1"/>
  <c r="AI23" i="8" s="1"/>
  <c r="J100" i="8"/>
  <c r="M100" i="8" s="1"/>
  <c r="P100" i="8" s="1"/>
  <c r="S100" i="8" s="1"/>
  <c r="V100" i="8" s="1"/>
  <c r="Y100" i="8" s="1"/>
  <c r="AB100" i="8" s="1"/>
  <c r="AE100" i="8" s="1"/>
  <c r="AH100" i="8" s="1"/>
  <c r="K222" i="8"/>
  <c r="N222" i="8" s="1"/>
  <c r="Q222" i="8" s="1"/>
  <c r="T222" i="8" s="1"/>
  <c r="W222" i="8" s="1"/>
  <c r="Z222" i="8" s="1"/>
  <c r="AC222" i="8" s="1"/>
  <c r="AF222" i="8" s="1"/>
  <c r="AI222" i="8" s="1"/>
  <c r="K187" i="8"/>
  <c r="N187" i="8" s="1"/>
  <c r="Q187" i="8" s="1"/>
  <c r="T187" i="8" s="1"/>
  <c r="W187" i="8" s="1"/>
  <c r="Z187" i="8" s="1"/>
  <c r="AC187" i="8" s="1"/>
  <c r="AF187" i="8" s="1"/>
  <c r="AI187" i="8" s="1"/>
  <c r="K157" i="8"/>
  <c r="N157" i="8" s="1"/>
  <c r="Q157" i="8" s="1"/>
  <c r="T157" i="8" s="1"/>
  <c r="W157" i="8" s="1"/>
  <c r="Z157" i="8" s="1"/>
  <c r="AC157" i="8" s="1"/>
  <c r="AF157" i="8" s="1"/>
  <c r="AI157" i="8" s="1"/>
  <c r="K130" i="8"/>
  <c r="N130" i="8" s="1"/>
  <c r="Q130" i="8" s="1"/>
  <c r="T130" i="8" s="1"/>
  <c r="W130" i="8" s="1"/>
  <c r="Z130" i="8" s="1"/>
  <c r="AC130" i="8" s="1"/>
  <c r="AF130" i="8" s="1"/>
  <c r="AI130" i="8" s="1"/>
  <c r="J106" i="8"/>
  <c r="M106" i="8" s="1"/>
  <c r="P106" i="8" s="1"/>
  <c r="S106" i="8" s="1"/>
  <c r="V106" i="8" s="1"/>
  <c r="Y106" i="8" s="1"/>
  <c r="AB106" i="8" s="1"/>
  <c r="AE106" i="8" s="1"/>
  <c r="AH106" i="8" s="1"/>
  <c r="K85" i="8"/>
  <c r="N85" i="8" s="1"/>
  <c r="Q85" i="8" s="1"/>
  <c r="T85" i="8" s="1"/>
  <c r="W85" i="8" s="1"/>
  <c r="Z85" i="8" s="1"/>
  <c r="AC85" i="8" s="1"/>
  <c r="AF85" i="8" s="1"/>
  <c r="AI85" i="8" s="1"/>
  <c r="K66" i="8"/>
  <c r="N66" i="8" s="1"/>
  <c r="Q66" i="8" s="1"/>
  <c r="T66" i="8" s="1"/>
  <c r="W66" i="8" s="1"/>
  <c r="Z66" i="8" s="1"/>
  <c r="AC66" i="8" s="1"/>
  <c r="AF66" i="8" s="1"/>
  <c r="AI66" i="8" s="1"/>
  <c r="K35" i="8"/>
  <c r="N35" i="8" s="1"/>
  <c r="Q35" i="8" s="1"/>
  <c r="T35" i="8" s="1"/>
  <c r="W35" i="8" s="1"/>
  <c r="Z35" i="8" s="1"/>
  <c r="AC35" i="8" s="1"/>
  <c r="AF35" i="8" s="1"/>
  <c r="AI35" i="8" s="1"/>
  <c r="K30" i="8"/>
  <c r="N30" i="8" s="1"/>
  <c r="Q30" i="8" s="1"/>
  <c r="T30" i="8" s="1"/>
  <c r="W30" i="8" s="1"/>
  <c r="Z30" i="8" s="1"/>
  <c r="AC30" i="8" s="1"/>
  <c r="AF30" i="8" s="1"/>
  <c r="AI30" i="8" s="1"/>
  <c r="L13" i="8"/>
  <c r="O13" i="8" s="1"/>
  <c r="R13" i="8" s="1"/>
  <c r="U13" i="8" s="1"/>
  <c r="X13" i="8" s="1"/>
  <c r="AA13" i="8" s="1"/>
  <c r="AD13" i="8" s="1"/>
  <c r="AG13" i="8" s="1"/>
  <c r="AJ13" i="8" s="1"/>
  <c r="J24" i="8"/>
  <c r="M24" i="8" s="1"/>
  <c r="P24" i="8" s="1"/>
  <c r="S24" i="8" s="1"/>
  <c r="V24" i="8" s="1"/>
  <c r="Y24" i="8" s="1"/>
  <c r="AB24" i="8" s="1"/>
  <c r="AE24" i="8" s="1"/>
  <c r="AH24" i="8" s="1"/>
  <c r="K211" i="8"/>
  <c r="N211" i="8" s="1"/>
  <c r="Q211" i="8" s="1"/>
  <c r="T211" i="8" s="1"/>
  <c r="W211" i="8" s="1"/>
  <c r="Z211" i="8" s="1"/>
  <c r="AC211" i="8" s="1"/>
  <c r="AF211" i="8" s="1"/>
  <c r="AI211" i="8" s="1"/>
  <c r="J150" i="8"/>
  <c r="M150" i="8" s="1"/>
  <c r="P150" i="8" s="1"/>
  <c r="S150" i="8" s="1"/>
  <c r="V150" i="8" s="1"/>
  <c r="Y150" i="8" s="1"/>
  <c r="AB150" i="8" s="1"/>
  <c r="AE150" i="8" s="1"/>
  <c r="AH150" i="8" s="1"/>
  <c r="K123" i="8"/>
  <c r="N123" i="8" s="1"/>
  <c r="Q123" i="8" s="1"/>
  <c r="T123" i="8" s="1"/>
  <c r="W123" i="8" s="1"/>
  <c r="Z123" i="8" s="1"/>
  <c r="AC123" i="8" s="1"/>
  <c r="AF123" i="8" s="1"/>
  <c r="AI123" i="8" s="1"/>
  <c r="K100" i="8"/>
  <c r="N100" i="8" s="1"/>
  <c r="Q100" i="8" s="1"/>
  <c r="T100" i="8" s="1"/>
  <c r="W100" i="8" s="1"/>
  <c r="Z100" i="8" s="1"/>
  <c r="AC100" i="8" s="1"/>
  <c r="AF100" i="8" s="1"/>
  <c r="AI100" i="8" s="1"/>
  <c r="J81" i="8"/>
  <c r="M81" i="8" s="1"/>
  <c r="P81" i="8" s="1"/>
  <c r="S81" i="8" s="1"/>
  <c r="V81" i="8" s="1"/>
  <c r="Y81" i="8" s="1"/>
  <c r="AB81" i="8" s="1"/>
  <c r="AE81" i="8" s="1"/>
  <c r="AH81" i="8" s="1"/>
  <c r="J62" i="8"/>
  <c r="M62" i="8" s="1"/>
  <c r="P62" i="8" s="1"/>
  <c r="S62" i="8" s="1"/>
  <c r="V62" i="8" s="1"/>
  <c r="Y62" i="8" s="1"/>
  <c r="AB62" i="8" s="1"/>
  <c r="AE62" i="8" s="1"/>
  <c r="AH62" i="8" s="1"/>
  <c r="K25" i="8"/>
  <c r="N25" i="8" s="1"/>
  <c r="Q25" i="8" s="1"/>
  <c r="T25" i="8" s="1"/>
  <c r="W25" i="8" s="1"/>
  <c r="Z25" i="8" s="1"/>
  <c r="AC25" i="8" s="1"/>
  <c r="AF25" i="8" s="1"/>
  <c r="AI25" i="8" s="1"/>
  <c r="J177" i="8"/>
  <c r="M177" i="8" s="1"/>
  <c r="P177" i="8" s="1"/>
  <c r="S177" i="8" s="1"/>
  <c r="V177" i="8" s="1"/>
  <c r="Y177" i="8" s="1"/>
  <c r="AB177" i="8" s="1"/>
  <c r="AE177" i="8" s="1"/>
  <c r="AH177" i="8" s="1"/>
  <c r="J211" i="8"/>
  <c r="M211" i="8" s="1"/>
  <c r="P211" i="8" s="1"/>
  <c r="S211" i="8" s="1"/>
  <c r="V211" i="8" s="1"/>
  <c r="Y211" i="8" s="1"/>
  <c r="AB211" i="8" s="1"/>
  <c r="AE211" i="8" s="1"/>
  <c r="AH211" i="8" s="1"/>
  <c r="J123" i="8"/>
  <c r="M123" i="8" s="1"/>
  <c r="P123" i="8" s="1"/>
  <c r="S123" i="8" s="1"/>
  <c r="V123" i="8" s="1"/>
  <c r="Y123" i="8" s="1"/>
  <c r="AB123" i="8" s="1"/>
  <c r="AE123" i="8" s="1"/>
  <c r="AH123" i="8" s="1"/>
  <c r="AG9" i="8"/>
  <c r="G42" i="12"/>
  <c r="J14" i="12" s="1"/>
  <c r="G41" i="12"/>
  <c r="J85" i="11" s="1"/>
  <c r="R44" i="10"/>
  <c r="Q44" i="10"/>
  <c r="L44" i="10"/>
  <c r="N44" i="10"/>
  <c r="O44" i="10"/>
  <c r="M44" i="10"/>
  <c r="P44" i="10"/>
  <c r="P16" i="10"/>
  <c r="R16" i="10"/>
  <c r="O16" i="10"/>
  <c r="L16" i="10"/>
  <c r="K16" i="10"/>
  <c r="Q16" i="10"/>
  <c r="N16" i="10"/>
  <c r="N27" i="8" l="1"/>
  <c r="Q8" i="8"/>
  <c r="R8" i="8"/>
  <c r="O27" i="8"/>
  <c r="P8" i="8"/>
  <c r="M27" i="8"/>
  <c r="AJ9" i="8"/>
  <c r="AI9" i="8"/>
  <c r="AH9" i="8"/>
  <c r="J86" i="11"/>
  <c r="J18" i="12"/>
  <c r="J87" i="11" s="1"/>
  <c r="J16" i="12"/>
  <c r="J17" i="12" s="1"/>
  <c r="J88" i="11" s="1"/>
  <c r="S8" i="8" l="1"/>
  <c r="P27" i="8"/>
  <c r="R27" i="8"/>
  <c r="U8" i="8"/>
  <c r="Q27" i="8"/>
  <c r="T8" i="8"/>
  <c r="J45" i="11"/>
  <c r="J19" i="12"/>
  <c r="W8" i="8" l="1"/>
  <c r="T27" i="8"/>
  <c r="U27" i="8"/>
  <c r="X8" i="8"/>
  <c r="V8" i="8"/>
  <c r="S27" i="8"/>
  <c r="K14" i="12"/>
  <c r="J66" i="11"/>
  <c r="V27" i="8" l="1"/>
  <c r="Y8" i="8"/>
  <c r="AA8" i="8"/>
  <c r="X27" i="8"/>
  <c r="Z8" i="8"/>
  <c r="W27" i="8"/>
  <c r="J67" i="11"/>
  <c r="V2" i="14"/>
  <c r="K16" i="12"/>
  <c r="K18" i="12"/>
  <c r="K87" i="11" s="1"/>
  <c r="AC8" i="8" l="1"/>
  <c r="Z27" i="8"/>
  <c r="AD8" i="8"/>
  <c r="AA27" i="8"/>
  <c r="AB8" i="8"/>
  <c r="Y27" i="8"/>
  <c r="K17" i="12"/>
  <c r="K45" i="11"/>
  <c r="AB27" i="8" l="1"/>
  <c r="AE8" i="8"/>
  <c r="AG8" i="8"/>
  <c r="AD27" i="8"/>
  <c r="AC27" i="8"/>
  <c r="AF8" i="8"/>
  <c r="K88" i="11"/>
  <c r="K19" i="12"/>
  <c r="AJ8" i="8" l="1"/>
  <c r="AJ27" i="8" s="1"/>
  <c r="AG27" i="8"/>
  <c r="AH8" i="8"/>
  <c r="AH27" i="8" s="1"/>
  <c r="AE27" i="8"/>
  <c r="AI8" i="8"/>
  <c r="AI27" i="8" s="1"/>
  <c r="AF27" i="8"/>
  <c r="K66" i="11"/>
  <c r="L14" i="12"/>
  <c r="K67" i="11" l="1"/>
  <c r="V3" i="14"/>
  <c r="L16" i="12"/>
  <c r="L18" i="12"/>
  <c r="L87" i="11" s="1"/>
  <c r="L17" i="12" l="1"/>
  <c r="L88" i="11" s="1"/>
  <c r="L45" i="11"/>
  <c r="L19" i="12" l="1"/>
  <c r="L66" i="11" l="1"/>
  <c r="M14" i="12"/>
  <c r="L67" i="11" l="1"/>
  <c r="V4" i="14"/>
  <c r="M18" i="12"/>
  <c r="M87" i="11" s="1"/>
  <c r="M16" i="12"/>
  <c r="M17" i="12" l="1"/>
  <c r="M45" i="11"/>
  <c r="M88" i="11" l="1"/>
  <c r="M19" i="12"/>
  <c r="N14" i="12" l="1"/>
  <c r="M66" i="11"/>
  <c r="M67" i="11" l="1"/>
  <c r="V5" i="14"/>
  <c r="N18" i="12"/>
  <c r="N87" i="11" s="1"/>
  <c r="N16" i="12"/>
  <c r="N17" i="12" l="1"/>
  <c r="N45" i="11"/>
  <c r="N88" i="11" l="1"/>
  <c r="N19" i="12"/>
  <c r="N66" i="11" l="1"/>
  <c r="O14" i="12"/>
  <c r="N67" i="11" l="1"/>
  <c r="V6" i="14"/>
  <c r="O18" i="12"/>
  <c r="O87" i="11" s="1"/>
  <c r="O16" i="12"/>
  <c r="O17" i="12" l="1"/>
  <c r="O45" i="11"/>
  <c r="O88" i="11" l="1"/>
  <c r="O19" i="12"/>
  <c r="P14" i="12" l="1"/>
  <c r="O66" i="11"/>
  <c r="O67" i="11" l="1"/>
  <c r="V7" i="14"/>
  <c r="P18" i="12"/>
  <c r="P87" i="11" s="1"/>
  <c r="P16" i="12"/>
  <c r="P17" i="12" l="1"/>
  <c r="P45" i="11"/>
  <c r="P88" i="11" l="1"/>
  <c r="P19" i="12"/>
  <c r="Q14" i="12" l="1"/>
  <c r="P66" i="11"/>
  <c r="P67" i="11" l="1"/>
  <c r="V8" i="14"/>
  <c r="Q16" i="12"/>
  <c r="Q18" i="12"/>
  <c r="Q87" i="11" s="1"/>
  <c r="Q17" i="12" l="1"/>
  <c r="Q45" i="11"/>
  <c r="Q88" i="11" l="1"/>
  <c r="Q19" i="12"/>
  <c r="R14" i="12" l="1"/>
  <c r="Q66" i="11"/>
  <c r="Q67" i="11" l="1"/>
  <c r="V9" i="14"/>
  <c r="R16" i="12"/>
  <c r="R18" i="12"/>
  <c r="R87" i="11" l="1"/>
  <c r="R17" i="12"/>
  <c r="R88" i="11" s="1"/>
  <c r="R45" i="11"/>
  <c r="R19" i="12" l="1"/>
  <c r="R66" i="11" s="1"/>
  <c r="R67" i="11" l="1"/>
  <c r="V10" i="14"/>
  <c r="G62" i="10"/>
  <c r="J64" i="10" s="1"/>
  <c r="H62" i="10"/>
  <c r="G69" i="10"/>
  <c r="J71" i="10" s="1"/>
  <c r="H69" i="10"/>
  <c r="G76" i="10"/>
  <c r="J78" i="10" s="1"/>
  <c r="H76" i="10"/>
  <c r="G20" i="10"/>
  <c r="J22" i="10" s="1"/>
  <c r="H20" i="10"/>
  <c r="G27" i="10"/>
  <c r="J29" i="10" s="1"/>
  <c r="H27" i="10"/>
  <c r="G34" i="10"/>
  <c r="J36" i="10" s="1"/>
  <c r="H34" i="10"/>
  <c r="G41" i="10"/>
  <c r="J43" i="10" s="1"/>
  <c r="G48" i="10"/>
  <c r="J50" i="10" s="1"/>
  <c r="H48" i="10"/>
  <c r="G55" i="10"/>
  <c r="J57" i="10" s="1"/>
  <c r="H55" i="10"/>
  <c r="G13" i="10"/>
  <c r="J15" i="10" s="1"/>
  <c r="E21" i="11"/>
  <c r="E41" i="11" s="1"/>
  <c r="J9" i="7"/>
  <c r="J8" i="7"/>
  <c r="E18" i="7"/>
  <c r="E8" i="7"/>
  <c r="E11" i="7"/>
  <c r="E9" i="7"/>
  <c r="E12" i="7"/>
  <c r="E13" i="7"/>
  <c r="E14" i="7"/>
  <c r="E15" i="7"/>
  <c r="E16" i="7"/>
  <c r="E17" i="7"/>
  <c r="B7" i="7"/>
  <c r="E15" i="11"/>
  <c r="E35" i="11" s="1"/>
  <c r="E16" i="11"/>
  <c r="E36" i="11" s="1"/>
  <c r="E17" i="11"/>
  <c r="E37" i="11" s="1"/>
  <c r="E12" i="11"/>
  <c r="E32" i="11" s="1"/>
  <c r="E13" i="11"/>
  <c r="E33" i="11" s="1"/>
  <c r="E14" i="11"/>
  <c r="E34" i="11" s="1"/>
  <c r="E10" i="11"/>
  <c r="E30" i="11" s="1"/>
  <c r="E11" i="11"/>
  <c r="E31" i="11" s="1"/>
  <c r="E9" i="11"/>
  <c r="E29" i="11" s="1"/>
  <c r="E8" i="11"/>
  <c r="E28" i="11" s="1"/>
  <c r="E30" i="8"/>
  <c r="F30" i="8"/>
  <c r="E31" i="8"/>
  <c r="F31" i="8"/>
  <c r="E32" i="8"/>
  <c r="F32" i="8"/>
  <c r="E33" i="8"/>
  <c r="F33" i="8"/>
  <c r="E34" i="8"/>
  <c r="F34" i="8"/>
  <c r="E35" i="8"/>
  <c r="F35" i="8"/>
  <c r="E36" i="8"/>
  <c r="F36" i="8"/>
  <c r="E37" i="8"/>
  <c r="F37" i="8"/>
  <c r="E38" i="8"/>
  <c r="F38" i="8"/>
  <c r="E39" i="8"/>
  <c r="F39" i="8"/>
  <c r="E40" i="8"/>
  <c r="F40" i="8"/>
  <c r="E41" i="8"/>
  <c r="F41" i="8"/>
  <c r="E42" i="8"/>
  <c r="F42" i="8"/>
  <c r="E43" i="8"/>
  <c r="F43" i="8"/>
  <c r="E44" i="8"/>
  <c r="F44" i="8"/>
  <c r="E45" i="8"/>
  <c r="F45" i="8"/>
  <c r="E46" i="8"/>
  <c r="F46" i="8"/>
  <c r="E47" i="8"/>
  <c r="F47" i="8"/>
  <c r="E48" i="8"/>
  <c r="F48" i="8"/>
  <c r="C51" i="8"/>
  <c r="E52" i="8"/>
  <c r="F52" i="8"/>
  <c r="E53" i="8"/>
  <c r="F53" i="8"/>
  <c r="E54" i="8"/>
  <c r="F54" i="8"/>
  <c r="E55" i="8"/>
  <c r="F55" i="8"/>
  <c r="E56" i="8"/>
  <c r="F56" i="8"/>
  <c r="E57" i="8"/>
  <c r="F57" i="8"/>
  <c r="E58" i="8"/>
  <c r="F58" i="8"/>
  <c r="E59" i="8"/>
  <c r="F59" i="8"/>
  <c r="E60" i="8"/>
  <c r="F60" i="8"/>
  <c r="E61" i="8"/>
  <c r="F61" i="8"/>
  <c r="E62" i="8"/>
  <c r="F62" i="8"/>
  <c r="E63" i="8"/>
  <c r="F63" i="8"/>
  <c r="E64" i="8"/>
  <c r="F64" i="8"/>
  <c r="E65" i="8"/>
  <c r="F65" i="8"/>
  <c r="E66" i="8"/>
  <c r="F66" i="8"/>
  <c r="E67" i="8"/>
  <c r="F67" i="8"/>
  <c r="E68" i="8"/>
  <c r="F68" i="8"/>
  <c r="E69" i="8"/>
  <c r="F69" i="8"/>
  <c r="E70" i="8"/>
  <c r="F70" i="8"/>
  <c r="C73" i="8"/>
  <c r="E74" i="8"/>
  <c r="F74" i="8"/>
  <c r="E75" i="8"/>
  <c r="F75" i="8"/>
  <c r="E76" i="8"/>
  <c r="F76" i="8"/>
  <c r="E77" i="8"/>
  <c r="F77" i="8"/>
  <c r="E78" i="8"/>
  <c r="F78" i="8"/>
  <c r="E79" i="8"/>
  <c r="F79" i="8"/>
  <c r="E80" i="8"/>
  <c r="F80" i="8"/>
  <c r="E81" i="8"/>
  <c r="F81" i="8"/>
  <c r="E82" i="8"/>
  <c r="F82" i="8"/>
  <c r="E83" i="8"/>
  <c r="F83" i="8"/>
  <c r="E84" i="8"/>
  <c r="F84" i="8"/>
  <c r="E85" i="8"/>
  <c r="F85" i="8"/>
  <c r="E86" i="8"/>
  <c r="F86" i="8"/>
  <c r="E87" i="8"/>
  <c r="F87" i="8"/>
  <c r="E88" i="8"/>
  <c r="F88" i="8"/>
  <c r="E89" i="8"/>
  <c r="F89" i="8"/>
  <c r="E90" i="8"/>
  <c r="F90" i="8"/>
  <c r="E91" i="8"/>
  <c r="F91" i="8"/>
  <c r="E92" i="8"/>
  <c r="F92" i="8"/>
  <c r="C95" i="8"/>
  <c r="E96" i="8"/>
  <c r="F96" i="8"/>
  <c r="E97" i="8"/>
  <c r="F97" i="8"/>
  <c r="E98" i="8"/>
  <c r="F98" i="8"/>
  <c r="E99" i="8"/>
  <c r="F99" i="8"/>
  <c r="E100" i="8"/>
  <c r="F100" i="8"/>
  <c r="E101" i="8"/>
  <c r="F101" i="8"/>
  <c r="E102" i="8"/>
  <c r="F102" i="8"/>
  <c r="E103" i="8"/>
  <c r="F103" i="8"/>
  <c r="E104" i="8"/>
  <c r="F104" i="8"/>
  <c r="E105" i="8"/>
  <c r="F105" i="8"/>
  <c r="E106" i="8"/>
  <c r="F106" i="8"/>
  <c r="E107" i="8"/>
  <c r="F107" i="8"/>
  <c r="E108" i="8"/>
  <c r="F108" i="8"/>
  <c r="E109" i="8"/>
  <c r="F109" i="8"/>
  <c r="E110" i="8"/>
  <c r="F110" i="8"/>
  <c r="E111" i="8"/>
  <c r="F111" i="8"/>
  <c r="E112" i="8"/>
  <c r="F112" i="8"/>
  <c r="E113" i="8"/>
  <c r="F113" i="8"/>
  <c r="E114" i="8"/>
  <c r="F114" i="8"/>
  <c r="C117" i="8"/>
  <c r="E118" i="8"/>
  <c r="F118" i="8"/>
  <c r="E119" i="8"/>
  <c r="F119" i="8"/>
  <c r="E120" i="8"/>
  <c r="F120" i="8"/>
  <c r="E121" i="8"/>
  <c r="F121" i="8"/>
  <c r="E122" i="8"/>
  <c r="F122" i="8"/>
  <c r="E123" i="8"/>
  <c r="F123" i="8"/>
  <c r="E124" i="8"/>
  <c r="F124" i="8"/>
  <c r="E125" i="8"/>
  <c r="F125" i="8"/>
  <c r="E126" i="8"/>
  <c r="F126" i="8"/>
  <c r="E127" i="8"/>
  <c r="F127" i="8"/>
  <c r="E128" i="8"/>
  <c r="F128" i="8"/>
  <c r="E129" i="8"/>
  <c r="F129" i="8"/>
  <c r="E130" i="8"/>
  <c r="F130" i="8"/>
  <c r="E131" i="8"/>
  <c r="F131" i="8"/>
  <c r="E132" i="8"/>
  <c r="F132" i="8"/>
  <c r="E133" i="8"/>
  <c r="F133" i="8"/>
  <c r="E134" i="8"/>
  <c r="F134" i="8"/>
  <c r="E135" i="8"/>
  <c r="F135" i="8"/>
  <c r="E136" i="8"/>
  <c r="F136" i="8"/>
  <c r="C139" i="8"/>
  <c r="E140" i="8"/>
  <c r="F140" i="8"/>
  <c r="E141" i="8"/>
  <c r="F141" i="8"/>
  <c r="E142" i="8"/>
  <c r="F142" i="8"/>
  <c r="E143" i="8"/>
  <c r="F143" i="8"/>
  <c r="E144" i="8"/>
  <c r="F144" i="8"/>
  <c r="E145" i="8"/>
  <c r="F145" i="8"/>
  <c r="E146" i="8"/>
  <c r="F146" i="8"/>
  <c r="E147" i="8"/>
  <c r="F147" i="8"/>
  <c r="E148" i="8"/>
  <c r="F148" i="8"/>
  <c r="E149" i="8"/>
  <c r="F149" i="8"/>
  <c r="E150" i="8"/>
  <c r="F150" i="8"/>
  <c r="E151" i="8"/>
  <c r="F151" i="8"/>
  <c r="E152" i="8"/>
  <c r="F152" i="8"/>
  <c r="E153" i="8"/>
  <c r="F153" i="8"/>
  <c r="E154" i="8"/>
  <c r="F154" i="8"/>
  <c r="E155" i="8"/>
  <c r="F155" i="8"/>
  <c r="E156" i="8"/>
  <c r="F156" i="8"/>
  <c r="E157" i="8"/>
  <c r="F157" i="8"/>
  <c r="E158" i="8"/>
  <c r="F158" i="8"/>
  <c r="C161" i="8"/>
  <c r="E162" i="8"/>
  <c r="F162" i="8"/>
  <c r="E163" i="8"/>
  <c r="F163" i="8"/>
  <c r="E164" i="8"/>
  <c r="F164" i="8"/>
  <c r="E165" i="8"/>
  <c r="F165" i="8"/>
  <c r="E166" i="8"/>
  <c r="F166" i="8"/>
  <c r="E167" i="8"/>
  <c r="F167" i="8"/>
  <c r="E168" i="8"/>
  <c r="F168" i="8"/>
  <c r="E169" i="8"/>
  <c r="F169" i="8"/>
  <c r="E170" i="8"/>
  <c r="F170" i="8"/>
  <c r="E171" i="8"/>
  <c r="F171" i="8"/>
  <c r="E172" i="8"/>
  <c r="F172" i="8"/>
  <c r="E173" i="8"/>
  <c r="F173" i="8"/>
  <c r="E174" i="8"/>
  <c r="F174" i="8"/>
  <c r="E175" i="8"/>
  <c r="F175" i="8"/>
  <c r="E176" i="8"/>
  <c r="F176" i="8"/>
  <c r="E177" i="8"/>
  <c r="F177" i="8"/>
  <c r="E178" i="8"/>
  <c r="F178" i="8"/>
  <c r="E179" i="8"/>
  <c r="F179" i="8"/>
  <c r="E180" i="8"/>
  <c r="F180" i="8"/>
  <c r="C183" i="8"/>
  <c r="E184" i="8"/>
  <c r="F184" i="8"/>
  <c r="E185" i="8"/>
  <c r="F185" i="8"/>
  <c r="E186" i="8"/>
  <c r="F186" i="8"/>
  <c r="E187" i="8"/>
  <c r="F187" i="8"/>
  <c r="E188" i="8"/>
  <c r="F188" i="8"/>
  <c r="E189" i="8"/>
  <c r="F189" i="8"/>
  <c r="E190" i="8"/>
  <c r="F190" i="8"/>
  <c r="E191" i="8"/>
  <c r="F191" i="8"/>
  <c r="E192" i="8"/>
  <c r="F192" i="8"/>
  <c r="E193" i="8"/>
  <c r="F193" i="8"/>
  <c r="E194" i="8"/>
  <c r="F194" i="8"/>
  <c r="E195" i="8"/>
  <c r="F195" i="8"/>
  <c r="E196" i="8"/>
  <c r="F196" i="8"/>
  <c r="E197" i="8"/>
  <c r="F197" i="8"/>
  <c r="E198" i="8"/>
  <c r="F198" i="8"/>
  <c r="E199" i="8"/>
  <c r="F199" i="8"/>
  <c r="E200" i="8"/>
  <c r="F200" i="8"/>
  <c r="E201" i="8"/>
  <c r="F201" i="8"/>
  <c r="E202" i="8"/>
  <c r="F202" i="8"/>
  <c r="C205" i="8"/>
  <c r="E206" i="8"/>
  <c r="F206" i="8"/>
  <c r="E207" i="8"/>
  <c r="F207" i="8"/>
  <c r="E208" i="8"/>
  <c r="F208" i="8"/>
  <c r="E209" i="8"/>
  <c r="F209" i="8"/>
  <c r="E210" i="8"/>
  <c r="F210" i="8"/>
  <c r="E211" i="8"/>
  <c r="F211" i="8"/>
  <c r="E212" i="8"/>
  <c r="F212" i="8"/>
  <c r="E213" i="8"/>
  <c r="F213" i="8"/>
  <c r="E214" i="8"/>
  <c r="F214" i="8"/>
  <c r="E215" i="8"/>
  <c r="F215" i="8"/>
  <c r="E216" i="8"/>
  <c r="F216" i="8"/>
  <c r="E217" i="8"/>
  <c r="F217" i="8"/>
  <c r="E218" i="8"/>
  <c r="F218" i="8"/>
  <c r="E219" i="8"/>
  <c r="F219" i="8"/>
  <c r="E220" i="8"/>
  <c r="F220" i="8"/>
  <c r="E221" i="8"/>
  <c r="F221" i="8"/>
  <c r="E222" i="8"/>
  <c r="F222" i="8"/>
  <c r="E223" i="8"/>
  <c r="F223" i="8"/>
  <c r="E224" i="8"/>
  <c r="F224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E20" i="8"/>
  <c r="F20" i="8"/>
  <c r="E21" i="8"/>
  <c r="F21" i="8"/>
  <c r="E22" i="8"/>
  <c r="F22" i="8"/>
  <c r="E23" i="8"/>
  <c r="F23" i="8"/>
  <c r="E24" i="8"/>
  <c r="F24" i="8"/>
  <c r="E25" i="8"/>
  <c r="F25" i="8"/>
  <c r="E26" i="8"/>
  <c r="F26" i="8"/>
  <c r="C29" i="8"/>
  <c r="E8" i="8"/>
  <c r="F8" i="8"/>
  <c r="AK7" i="11"/>
  <c r="O19" i="7" l="1"/>
  <c r="O21" i="11" s="1"/>
  <c r="AG19" i="7"/>
  <c r="AG21" i="11" s="1"/>
  <c r="S19" i="7"/>
  <c r="S21" i="11" s="1"/>
  <c r="AA19" i="7"/>
  <c r="AA21" i="11" s="1"/>
  <c r="P19" i="7"/>
  <c r="P21" i="11" s="1"/>
  <c r="J19" i="7"/>
  <c r="J21" i="11" s="1"/>
  <c r="N19" i="7"/>
  <c r="N21" i="11" s="1"/>
  <c r="Z19" i="7"/>
  <c r="Z21" i="11" s="1"/>
  <c r="AJ19" i="7"/>
  <c r="AJ21" i="11" s="1"/>
  <c r="X19" i="7"/>
  <c r="X21" i="11" s="1"/>
  <c r="AD19" i="7"/>
  <c r="AD21" i="11" s="1"/>
  <c r="L19" i="7"/>
  <c r="L21" i="11" s="1"/>
  <c r="M19" i="7"/>
  <c r="M21" i="11" s="1"/>
  <c r="Y19" i="7"/>
  <c r="Y21" i="11" s="1"/>
  <c r="AI19" i="7"/>
  <c r="AI21" i="11" s="1"/>
  <c r="W19" i="7"/>
  <c r="W21" i="11" s="1"/>
  <c r="T19" i="7"/>
  <c r="T21" i="11" s="1"/>
  <c r="U19" i="7"/>
  <c r="U21" i="11" s="1"/>
  <c r="AH19" i="7"/>
  <c r="AH21" i="11" s="1"/>
  <c r="Q19" i="7"/>
  <c r="Q21" i="11" s="1"/>
  <c r="AC19" i="7"/>
  <c r="AC21" i="11" s="1"/>
  <c r="AB19" i="7"/>
  <c r="AB21" i="11" s="1"/>
  <c r="K19" i="7"/>
  <c r="K21" i="11" s="1"/>
  <c r="AF19" i="7"/>
  <c r="AF21" i="11" s="1"/>
  <c r="V19" i="7"/>
  <c r="V21" i="11" s="1"/>
  <c r="AE19" i="7"/>
  <c r="AE21" i="11" s="1"/>
  <c r="R19" i="7"/>
  <c r="R21" i="11" s="1"/>
  <c r="R59" i="10"/>
  <c r="N37" i="10"/>
  <c r="M37" i="10"/>
  <c r="K37" i="10"/>
  <c r="Q37" i="10"/>
  <c r="O37" i="10"/>
  <c r="L37" i="10"/>
  <c r="J38" i="10"/>
  <c r="J39" i="10" s="1"/>
  <c r="K35" i="10" s="1"/>
  <c r="R37" i="10"/>
  <c r="K38" i="10"/>
  <c r="P37" i="10"/>
  <c r="N38" i="10"/>
  <c r="R38" i="10"/>
  <c r="M38" i="10"/>
  <c r="J37" i="10"/>
  <c r="P38" i="10"/>
  <c r="Q38" i="10"/>
  <c r="L38" i="10"/>
  <c r="N24" i="10"/>
  <c r="O38" i="10"/>
  <c r="N30" i="10"/>
  <c r="M30" i="10"/>
  <c r="K30" i="10"/>
  <c r="K31" i="10"/>
  <c r="P30" i="10"/>
  <c r="R30" i="10"/>
  <c r="Q30" i="10"/>
  <c r="O30" i="10"/>
  <c r="L30" i="10"/>
  <c r="L31" i="10"/>
  <c r="M31" i="10"/>
  <c r="Q31" i="10"/>
  <c r="P31" i="10"/>
  <c r="R31" i="10"/>
  <c r="O31" i="10"/>
  <c r="J30" i="10"/>
  <c r="N31" i="10"/>
  <c r="J31" i="10"/>
  <c r="J32" i="10" s="1"/>
  <c r="K28" i="10" s="1"/>
  <c r="R58" i="10"/>
  <c r="L58" i="10"/>
  <c r="K59" i="10"/>
  <c r="Q58" i="10"/>
  <c r="J59" i="10"/>
  <c r="J60" i="10" s="1"/>
  <c r="K56" i="10" s="1"/>
  <c r="M58" i="10"/>
  <c r="P58" i="10"/>
  <c r="O58" i="10"/>
  <c r="N58" i="10"/>
  <c r="K58" i="10"/>
  <c r="J58" i="10"/>
  <c r="N59" i="10"/>
  <c r="M59" i="10"/>
  <c r="O59" i="10"/>
  <c r="P59" i="10"/>
  <c r="Q59" i="10"/>
  <c r="L59" i="10"/>
  <c r="J52" i="10"/>
  <c r="J53" i="10" s="1"/>
  <c r="K49" i="10" s="1"/>
  <c r="R51" i="10"/>
  <c r="N51" i="10"/>
  <c r="L51" i="10"/>
  <c r="L52" i="10"/>
  <c r="K52" i="10"/>
  <c r="M51" i="10"/>
  <c r="Q51" i="10"/>
  <c r="P51" i="10"/>
  <c r="O51" i="10"/>
  <c r="K51" i="10"/>
  <c r="P52" i="10"/>
  <c r="J51" i="10"/>
  <c r="N52" i="10"/>
  <c r="M52" i="10"/>
  <c r="O52" i="10"/>
  <c r="R52" i="10"/>
  <c r="P73" i="10"/>
  <c r="R80" i="10"/>
  <c r="L79" i="10"/>
  <c r="M80" i="10"/>
  <c r="N79" i="10"/>
  <c r="Q80" i="10"/>
  <c r="K79" i="10"/>
  <c r="M79" i="10"/>
  <c r="P80" i="10"/>
  <c r="J79" i="10"/>
  <c r="K80" i="10"/>
  <c r="O79" i="10"/>
  <c r="J80" i="10"/>
  <c r="J81" i="10" s="1"/>
  <c r="K77" i="10" s="1"/>
  <c r="R79" i="10"/>
  <c r="Q79" i="10"/>
  <c r="P79" i="10"/>
  <c r="L80" i="10"/>
  <c r="N80" i="10"/>
  <c r="O80" i="10"/>
  <c r="Q72" i="10"/>
  <c r="N72" i="10"/>
  <c r="M72" i="10"/>
  <c r="K73" i="10"/>
  <c r="P72" i="10"/>
  <c r="O72" i="10"/>
  <c r="N73" i="10"/>
  <c r="J73" i="10"/>
  <c r="J74" i="10" s="1"/>
  <c r="K70" i="10" s="1"/>
  <c r="R72" i="10"/>
  <c r="L72" i="10"/>
  <c r="R73" i="10"/>
  <c r="K72" i="10"/>
  <c r="Q73" i="10"/>
  <c r="M73" i="10"/>
  <c r="J72" i="10"/>
  <c r="L73" i="10"/>
  <c r="O73" i="10"/>
  <c r="Q52" i="10"/>
  <c r="K66" i="10"/>
  <c r="Q65" i="10"/>
  <c r="R66" i="10"/>
  <c r="J66" i="10"/>
  <c r="J67" i="10" s="1"/>
  <c r="K63" i="10" s="1"/>
  <c r="R65" i="10"/>
  <c r="P65" i="10"/>
  <c r="O65" i="10"/>
  <c r="N65" i="10"/>
  <c r="M65" i="10"/>
  <c r="L65" i="10"/>
  <c r="K65" i="10"/>
  <c r="L66" i="10"/>
  <c r="M66" i="10"/>
  <c r="P66" i="10"/>
  <c r="J65" i="10"/>
  <c r="O66" i="10"/>
  <c r="N66" i="10"/>
  <c r="R23" i="10"/>
  <c r="O23" i="10"/>
  <c r="O24" i="10"/>
  <c r="Q23" i="10"/>
  <c r="P23" i="10"/>
  <c r="N23" i="10"/>
  <c r="K23" i="10"/>
  <c r="L24" i="10"/>
  <c r="M23" i="10"/>
  <c r="Q24" i="10"/>
  <c r="L23" i="10"/>
  <c r="P24" i="10"/>
  <c r="K24" i="10"/>
  <c r="J24" i="10"/>
  <c r="J25" i="10" s="1"/>
  <c r="K21" i="10" s="1"/>
  <c r="R24" i="10"/>
  <c r="J23" i="10"/>
  <c r="M24" i="10"/>
  <c r="R17" i="10"/>
  <c r="T11" i="10"/>
  <c r="J16" i="10"/>
  <c r="L17" i="10"/>
  <c r="T12" i="10"/>
  <c r="J17" i="10"/>
  <c r="J18" i="10" s="1"/>
  <c r="K14" i="10" s="1"/>
  <c r="K17" i="10"/>
  <c r="T10" i="10"/>
  <c r="N17" i="10"/>
  <c r="P17" i="10"/>
  <c r="Q17" i="10"/>
  <c r="M17" i="10"/>
  <c r="T9" i="10"/>
  <c r="O17" i="10"/>
  <c r="T7" i="10"/>
  <c r="R45" i="10"/>
  <c r="M45" i="10"/>
  <c r="J44" i="10"/>
  <c r="N45" i="10"/>
  <c r="L45" i="10"/>
  <c r="K45" i="10"/>
  <c r="J45" i="10"/>
  <c r="J46" i="10" s="1"/>
  <c r="K42" i="10" s="1"/>
  <c r="P45" i="10"/>
  <c r="O45" i="10"/>
  <c r="Q45" i="10"/>
  <c r="Q66" i="10"/>
  <c r="J41" i="11" l="1"/>
  <c r="R41" i="11"/>
  <c r="O41" i="11"/>
  <c r="Q41" i="11"/>
  <c r="K41" i="11"/>
  <c r="P41" i="11"/>
  <c r="M41" i="11"/>
  <c r="N41" i="11"/>
  <c r="L41" i="11"/>
  <c r="K53" i="10"/>
  <c r="L49" i="10" s="1"/>
  <c r="L53" i="10" s="1"/>
  <c r="M49" i="10" s="1"/>
  <c r="M53" i="10" s="1"/>
  <c r="N49" i="10" s="1"/>
  <c r="N53" i="10" s="1"/>
  <c r="O49" i="10" s="1"/>
  <c r="O53" i="10" s="1"/>
  <c r="P49" i="10" s="1"/>
  <c r="P53" i="10" s="1"/>
  <c r="Q49" i="10" s="1"/>
  <c r="Q53" i="10" s="1"/>
  <c r="R49" i="10" s="1"/>
  <c r="R53" i="10" s="1"/>
  <c r="K46" i="10"/>
  <c r="L42" i="10" s="1"/>
  <c r="L46" i="10" s="1"/>
  <c r="M42" i="10" s="1"/>
  <c r="M46" i="10" s="1"/>
  <c r="N42" i="10" s="1"/>
  <c r="N46" i="10" s="1"/>
  <c r="O42" i="10" s="1"/>
  <c r="O46" i="10" s="1"/>
  <c r="P42" i="10" s="1"/>
  <c r="P46" i="10" s="1"/>
  <c r="Q42" i="10" s="1"/>
  <c r="Q46" i="10" s="1"/>
  <c r="R42" i="10" s="1"/>
  <c r="R46" i="10" s="1"/>
  <c r="K39" i="10"/>
  <c r="L35" i="10" s="1"/>
  <c r="L39" i="10" s="1"/>
  <c r="M35" i="10" s="1"/>
  <c r="M39" i="10" s="1"/>
  <c r="N35" i="10" s="1"/>
  <c r="N39" i="10" s="1"/>
  <c r="O35" i="10" s="1"/>
  <c r="O39" i="10" s="1"/>
  <c r="P35" i="10" s="1"/>
  <c r="P39" i="10" s="1"/>
  <c r="Q35" i="10" s="1"/>
  <c r="Q39" i="10" s="1"/>
  <c r="R35" i="10" s="1"/>
  <c r="R39" i="10" s="1"/>
  <c r="K74" i="10"/>
  <c r="L70" i="10" s="1"/>
  <c r="L74" i="10" s="1"/>
  <c r="M70" i="10" s="1"/>
  <c r="M74" i="10" s="1"/>
  <c r="N70" i="10" s="1"/>
  <c r="N74" i="10" s="1"/>
  <c r="O70" i="10" s="1"/>
  <c r="O74" i="10" s="1"/>
  <c r="P70" i="10" s="1"/>
  <c r="P74" i="10" s="1"/>
  <c r="Q70" i="10" s="1"/>
  <c r="Q74" i="10" s="1"/>
  <c r="R70" i="10" s="1"/>
  <c r="R74" i="10" s="1"/>
  <c r="K32" i="10"/>
  <c r="L28" i="10" s="1"/>
  <c r="L32" i="10" s="1"/>
  <c r="M28" i="10" s="1"/>
  <c r="M32" i="10" s="1"/>
  <c r="N28" i="10" s="1"/>
  <c r="N32" i="10" s="1"/>
  <c r="O28" i="10" s="1"/>
  <c r="O32" i="10" s="1"/>
  <c r="P28" i="10" s="1"/>
  <c r="P32" i="10" s="1"/>
  <c r="Q28" i="10" s="1"/>
  <c r="Q32" i="10" s="1"/>
  <c r="R28" i="10" s="1"/>
  <c r="R32" i="10" s="1"/>
  <c r="K81" i="10"/>
  <c r="L77" i="10" s="1"/>
  <c r="L81" i="10" s="1"/>
  <c r="M77" i="10" s="1"/>
  <c r="M81" i="10" s="1"/>
  <c r="N77" i="10" s="1"/>
  <c r="N81" i="10" s="1"/>
  <c r="O77" i="10" s="1"/>
  <c r="O81" i="10" s="1"/>
  <c r="P77" i="10" s="1"/>
  <c r="P81" i="10" s="1"/>
  <c r="Q77" i="10" s="1"/>
  <c r="Q81" i="10" s="1"/>
  <c r="R77" i="10" s="1"/>
  <c r="R81" i="10" s="1"/>
  <c r="K60" i="10"/>
  <c r="L56" i="10" s="1"/>
  <c r="L60" i="10" s="1"/>
  <c r="M56" i="10" s="1"/>
  <c r="M60" i="10" s="1"/>
  <c r="N56" i="10" s="1"/>
  <c r="N60" i="10" s="1"/>
  <c r="O56" i="10" s="1"/>
  <c r="O60" i="10" s="1"/>
  <c r="P56" i="10" s="1"/>
  <c r="P60" i="10" s="1"/>
  <c r="Q56" i="10" s="1"/>
  <c r="Q60" i="10" s="1"/>
  <c r="R56" i="10" s="1"/>
  <c r="R60" i="10" s="1"/>
  <c r="J7" i="10" a="1"/>
  <c r="J7" i="10" s="1"/>
  <c r="J83" i="11" s="1"/>
  <c r="J84" i="11" s="1"/>
  <c r="K67" i="10"/>
  <c r="L63" i="10" s="1"/>
  <c r="L67" i="10" s="1"/>
  <c r="M63" i="10" s="1"/>
  <c r="M67" i="10" s="1"/>
  <c r="N63" i="10" s="1"/>
  <c r="N67" i="10" s="1"/>
  <c r="O63" i="10" s="1"/>
  <c r="O67" i="10" s="1"/>
  <c r="P63" i="10" s="1"/>
  <c r="P67" i="10" s="1"/>
  <c r="Q63" i="10" s="1"/>
  <c r="Q67" i="10" s="1"/>
  <c r="R63" i="10" s="1"/>
  <c r="R67" i="10" s="1"/>
  <c r="J8" i="10" a="1"/>
  <c r="J8" i="10" s="1"/>
  <c r="J43" i="11" s="1"/>
  <c r="K18" i="10"/>
  <c r="L14" i="10" s="1"/>
  <c r="T8" i="10"/>
  <c r="K25" i="10"/>
  <c r="L21" i="10" s="1"/>
  <c r="L25" i="10" s="1"/>
  <c r="M21" i="10" s="1"/>
  <c r="M25" i="10" s="1"/>
  <c r="N21" i="10" s="1"/>
  <c r="N25" i="10" s="1"/>
  <c r="O21" i="10" s="1"/>
  <c r="O25" i="10" s="1"/>
  <c r="P21" i="10" s="1"/>
  <c r="P25" i="10" s="1"/>
  <c r="Q21" i="10" s="1"/>
  <c r="Q25" i="10" s="1"/>
  <c r="R21" i="10" s="1"/>
  <c r="R25" i="10" s="1"/>
  <c r="U8" i="10"/>
  <c r="T49" i="8"/>
  <c r="T9" i="11" s="1"/>
  <c r="AC49" i="8"/>
  <c r="AC9" i="11" s="1"/>
  <c r="N49" i="8"/>
  <c r="N9" i="11" s="1"/>
  <c r="AB137" i="8"/>
  <c r="AB13" i="11" s="1"/>
  <c r="L49" i="8"/>
  <c r="L9" i="11" s="1"/>
  <c r="K115" i="8"/>
  <c r="K12" i="11" s="1"/>
  <c r="AB49" i="8"/>
  <c r="AB9" i="11" s="1"/>
  <c r="AF8" i="11"/>
  <c r="Q115" i="8"/>
  <c r="Q12" i="11" s="1"/>
  <c r="Z203" i="8"/>
  <c r="Z16" i="11" s="1"/>
  <c r="N115" i="8"/>
  <c r="N12" i="11" s="1"/>
  <c r="M49" i="8"/>
  <c r="M9" i="11" s="1"/>
  <c r="AC71" i="8"/>
  <c r="AC10" i="11" s="1"/>
  <c r="O49" i="8"/>
  <c r="O9" i="11" s="1"/>
  <c r="AE115" i="8"/>
  <c r="AE12" i="11" s="1"/>
  <c r="AE137" i="8"/>
  <c r="AE13" i="11" s="1"/>
  <c r="O8" i="11"/>
  <c r="Q8" i="11"/>
  <c r="Z71" i="8"/>
  <c r="Z10" i="11" s="1"/>
  <c r="L71" i="8"/>
  <c r="L10" i="11" s="1"/>
  <c r="T71" i="8"/>
  <c r="T10" i="11" s="1"/>
  <c r="Z49" i="8"/>
  <c r="Z9" i="11" s="1"/>
  <c r="P49" i="8"/>
  <c r="P9" i="11" s="1"/>
  <c r="M137" i="8"/>
  <c r="M13" i="11" s="1"/>
  <c r="U137" i="8"/>
  <c r="U13" i="11" s="1"/>
  <c r="AD137" i="8"/>
  <c r="AD13" i="11" s="1"/>
  <c r="Q93" i="8"/>
  <c r="Q11" i="11" s="1"/>
  <c r="AH93" i="8"/>
  <c r="AH11" i="11" s="1"/>
  <c r="AE49" i="8"/>
  <c r="AE9" i="11" s="1"/>
  <c r="S8" i="11"/>
  <c r="AG8" i="11"/>
  <c r="O71" i="8"/>
  <c r="O10" i="11" s="1"/>
  <c r="AJ93" i="8"/>
  <c r="AJ11" i="11" s="1"/>
  <c r="T93" i="8"/>
  <c r="T11" i="11" s="1"/>
  <c r="M115" i="8"/>
  <c r="M12" i="11" s="1"/>
  <c r="AD49" i="8"/>
  <c r="AD9" i="11" s="1"/>
  <c r="U71" i="8"/>
  <c r="U10" i="11" s="1"/>
  <c r="V49" i="8"/>
  <c r="V9" i="11" s="1"/>
  <c r="AE93" i="8"/>
  <c r="AE11" i="11" s="1"/>
  <c r="L93" i="8"/>
  <c r="L11" i="11" s="1"/>
  <c r="AA8" i="11"/>
  <c r="K71" i="8"/>
  <c r="K10" i="11" s="1"/>
  <c r="AJ225" i="8"/>
  <c r="AJ17" i="11" s="1"/>
  <c r="AF49" i="8"/>
  <c r="AF9" i="11" s="1"/>
  <c r="V8" i="11"/>
  <c r="N8" i="11"/>
  <c r="O115" i="8"/>
  <c r="O12" i="11" s="1"/>
  <c r="AD115" i="8"/>
  <c r="AD12" i="11" s="1"/>
  <c r="J115" i="8"/>
  <c r="J12" i="11" s="1"/>
  <c r="J49" i="8"/>
  <c r="J9" i="11" s="1"/>
  <c r="AA71" i="8"/>
  <c r="AA10" i="11" s="1"/>
  <c r="L115" i="8"/>
  <c r="L12" i="11" s="1"/>
  <c r="K27" i="8"/>
  <c r="K8" i="11" s="1"/>
  <c r="AD8" i="11"/>
  <c r="M71" i="8"/>
  <c r="M10" i="11" s="1"/>
  <c r="AD93" i="8"/>
  <c r="AD11" i="11" s="1"/>
  <c r="AF93" i="8"/>
  <c r="AF11" i="11" s="1"/>
  <c r="AA115" i="8"/>
  <c r="AA12" i="11" s="1"/>
  <c r="Q71" i="8"/>
  <c r="Q10" i="11" s="1"/>
  <c r="N93" i="8"/>
  <c r="N11" i="11" s="1"/>
  <c r="S115" i="8"/>
  <c r="S12" i="11" s="1"/>
  <c r="AB115" i="8"/>
  <c r="AB12" i="11" s="1"/>
  <c r="P137" i="8"/>
  <c r="P13" i="11" s="1"/>
  <c r="N203" i="8"/>
  <c r="N16" i="11" s="1"/>
  <c r="AJ8" i="11"/>
  <c r="AC93" i="8"/>
  <c r="AC11" i="11" s="1"/>
  <c r="S93" i="8"/>
  <c r="S11" i="11" s="1"/>
  <c r="AJ71" i="8"/>
  <c r="AJ10" i="11" s="1"/>
  <c r="M8" i="11"/>
  <c r="AC8" i="11"/>
  <c r="O93" i="8"/>
  <c r="O11" i="11" s="1"/>
  <c r="K49" i="8"/>
  <c r="K9" i="11" s="1"/>
  <c r="AI8" i="11"/>
  <c r="L27" i="8"/>
  <c r="L8" i="11" s="1"/>
  <c r="P93" i="8"/>
  <c r="P11" i="11" s="1"/>
  <c r="AG93" i="8"/>
  <c r="AG11" i="11" s="1"/>
  <c r="S71" i="8"/>
  <c r="S10" i="11" s="1"/>
  <c r="X93" i="8"/>
  <c r="X11" i="11" s="1"/>
  <c r="AG71" i="8"/>
  <c r="AG10" i="11" s="1"/>
  <c r="Y49" i="8"/>
  <c r="Y9" i="11" s="1"/>
  <c r="X137" i="8"/>
  <c r="X13" i="11" s="1"/>
  <c r="AG49" i="8"/>
  <c r="AG9" i="11" s="1"/>
  <c r="AH8" i="11"/>
  <c r="AB8" i="11"/>
  <c r="AH71" i="8"/>
  <c r="AH10" i="11" s="1"/>
  <c r="K93" i="8"/>
  <c r="K11" i="11" s="1"/>
  <c r="U93" i="8"/>
  <c r="U11" i="11" s="1"/>
  <c r="R115" i="8"/>
  <c r="R12" i="11" s="1"/>
  <c r="X71" i="8"/>
  <c r="X10" i="11" s="1"/>
  <c r="P71" i="8"/>
  <c r="P10" i="11" s="1"/>
  <c r="W93" i="8"/>
  <c r="W11" i="11" s="1"/>
  <c r="AE71" i="8"/>
  <c r="AE10" i="11" s="1"/>
  <c r="AI71" i="8"/>
  <c r="AI10" i="11" s="1"/>
  <c r="AB93" i="8"/>
  <c r="AB11" i="11" s="1"/>
  <c r="AG115" i="8"/>
  <c r="AG12" i="11" s="1"/>
  <c r="AA93" i="8"/>
  <c r="AA11" i="11" s="1"/>
  <c r="AC115" i="8"/>
  <c r="AC12" i="11" s="1"/>
  <c r="Q49" i="8"/>
  <c r="Q9" i="11" s="1"/>
  <c r="X49" i="8"/>
  <c r="X9" i="11" s="1"/>
  <c r="P203" i="8"/>
  <c r="P16" i="11" s="1"/>
  <c r="AI203" i="8"/>
  <c r="AI16" i="11" s="1"/>
  <c r="N71" i="8"/>
  <c r="N10" i="11" s="1"/>
  <c r="Z137" i="8"/>
  <c r="Z13" i="11" s="1"/>
  <c r="W8" i="11"/>
  <c r="AI93" i="8"/>
  <c r="AI11" i="11" s="1"/>
  <c r="Z115" i="8"/>
  <c r="Z12" i="11" s="1"/>
  <c r="Z8" i="11"/>
  <c r="J71" i="8"/>
  <c r="J10" i="11" s="1"/>
  <c r="R71" i="8"/>
  <c r="R10" i="11" s="1"/>
  <c r="Z93" i="8"/>
  <c r="Z11" i="11" s="1"/>
  <c r="O137" i="8"/>
  <c r="O13" i="11" s="1"/>
  <c r="AG137" i="8"/>
  <c r="AG13" i="11" s="1"/>
  <c r="R93" i="8"/>
  <c r="R11" i="11" s="1"/>
  <c r="W71" i="8"/>
  <c r="W10" i="11" s="1"/>
  <c r="AI49" i="8"/>
  <c r="AI9" i="11" s="1"/>
  <c r="Q137" i="8"/>
  <c r="Q13" i="11" s="1"/>
  <c r="U49" i="8"/>
  <c r="U9" i="11" s="1"/>
  <c r="Y8" i="11"/>
  <c r="U8" i="11"/>
  <c r="V93" i="8"/>
  <c r="V11" i="11" s="1"/>
  <c r="V71" i="8"/>
  <c r="V10" i="11" s="1"/>
  <c r="AD71" i="8"/>
  <c r="AD10" i="11" s="1"/>
  <c r="M93" i="8"/>
  <c r="M11" i="11" s="1"/>
  <c r="P8" i="11"/>
  <c r="P115" i="8"/>
  <c r="P12" i="11" s="1"/>
  <c r="AJ49" i="8"/>
  <c r="AJ9" i="11" s="1"/>
  <c r="AE8" i="11"/>
  <c r="N225" i="8"/>
  <c r="N17" i="11" s="1"/>
  <c r="X8" i="11"/>
  <c r="T8" i="11"/>
  <c r="AH49" i="8"/>
  <c r="AH9" i="11" s="1"/>
  <c r="W49" i="8"/>
  <c r="W9" i="11" s="1"/>
  <c r="R49" i="8"/>
  <c r="R9" i="11" s="1"/>
  <c r="S49" i="8"/>
  <c r="S9" i="11" s="1"/>
  <c r="L137" i="8"/>
  <c r="L13" i="11" s="1"/>
  <c r="R8" i="11"/>
  <c r="J93" i="8"/>
  <c r="J11" i="11" s="1"/>
  <c r="AB71" i="8"/>
  <c r="AB10" i="11" s="1"/>
  <c r="Y71" i="8"/>
  <c r="Y10" i="11" s="1"/>
  <c r="AF71" i="8"/>
  <c r="AF10" i="11" s="1"/>
  <c r="AA49" i="8"/>
  <c r="AA9" i="11" s="1"/>
  <c r="Y93" i="8"/>
  <c r="Y11" i="11" s="1"/>
  <c r="Y115" i="8"/>
  <c r="Y12" i="11" s="1"/>
  <c r="AA137" i="8"/>
  <c r="AA13" i="11" s="1"/>
  <c r="AB203" i="8"/>
  <c r="AB16" i="11" s="1"/>
  <c r="O203" i="8"/>
  <c r="O16" i="11" s="1"/>
  <c r="AB225" i="8"/>
  <c r="AB17" i="11" s="1"/>
  <c r="AH225" i="8"/>
  <c r="AH17" i="11" s="1"/>
  <c r="J181" i="8"/>
  <c r="J15" i="11" s="1"/>
  <c r="T181" i="8"/>
  <c r="T15" i="11" s="1"/>
  <c r="X159" i="8"/>
  <c r="X14" i="11" s="1"/>
  <c r="AE159" i="8"/>
  <c r="AE14" i="11" s="1"/>
  <c r="Q225" i="8"/>
  <c r="Q17" i="11" s="1"/>
  <c r="Z181" i="8"/>
  <c r="Z15" i="11" s="1"/>
  <c r="AF159" i="8"/>
  <c r="AF14" i="11" s="1"/>
  <c r="U115" i="8"/>
  <c r="U12" i="11" s="1"/>
  <c r="L181" i="8"/>
  <c r="L15" i="11" s="1"/>
  <c r="AI159" i="8"/>
  <c r="AI14" i="11" s="1"/>
  <c r="AA159" i="8"/>
  <c r="AA14" i="11" s="1"/>
  <c r="T115" i="8"/>
  <c r="T12" i="11" s="1"/>
  <c r="J137" i="8"/>
  <c r="J13" i="11" s="1"/>
  <c r="AJ137" i="8"/>
  <c r="AJ13" i="11" s="1"/>
  <c r="AH203" i="8"/>
  <c r="AH16" i="11" s="1"/>
  <c r="AJ203" i="8"/>
  <c r="AJ16" i="11" s="1"/>
  <c r="L225" i="8"/>
  <c r="L17" i="11" s="1"/>
  <c r="U225" i="8"/>
  <c r="U17" i="11" s="1"/>
  <c r="AA203" i="8"/>
  <c r="AA16" i="11" s="1"/>
  <c r="P181" i="8"/>
  <c r="P15" i="11" s="1"/>
  <c r="Y181" i="8"/>
  <c r="Y15" i="11" s="1"/>
  <c r="AD181" i="8"/>
  <c r="AD15" i="11" s="1"/>
  <c r="J27" i="8"/>
  <c r="J8" i="11" s="1"/>
  <c r="K159" i="8"/>
  <c r="K14" i="11" s="1"/>
  <c r="L159" i="8"/>
  <c r="L14" i="11" s="1"/>
  <c r="AA225" i="8"/>
  <c r="AA17" i="11" s="1"/>
  <c r="AF181" i="8"/>
  <c r="AF15" i="11" s="1"/>
  <c r="L203" i="8"/>
  <c r="L16" i="11" s="1"/>
  <c r="AE181" i="8"/>
  <c r="AE15" i="11" s="1"/>
  <c r="J159" i="8"/>
  <c r="J14" i="11" s="1"/>
  <c r="AH137" i="8"/>
  <c r="AH13" i="11" s="1"/>
  <c r="Y137" i="8"/>
  <c r="Y13" i="11" s="1"/>
  <c r="AG225" i="8"/>
  <c r="AG17" i="11" s="1"/>
  <c r="S181" i="8"/>
  <c r="S15" i="11" s="1"/>
  <c r="AJ115" i="8"/>
  <c r="AJ12" i="11" s="1"/>
  <c r="J203" i="8"/>
  <c r="J16" i="11" s="1"/>
  <c r="AI225" i="8"/>
  <c r="AI17" i="11" s="1"/>
  <c r="AI181" i="8"/>
  <c r="AI15" i="11" s="1"/>
  <c r="Z159" i="8"/>
  <c r="Z14" i="11" s="1"/>
  <c r="AF203" i="8"/>
  <c r="AF16" i="11" s="1"/>
  <c r="AD225" i="8"/>
  <c r="AD17" i="11" s="1"/>
  <c r="W181" i="8"/>
  <c r="W15" i="11" s="1"/>
  <c r="X181" i="8"/>
  <c r="X15" i="11" s="1"/>
  <c r="T159" i="8"/>
  <c r="T14" i="11" s="1"/>
  <c r="M159" i="8"/>
  <c r="M14" i="11" s="1"/>
  <c r="AI115" i="8"/>
  <c r="AI12" i="11" s="1"/>
  <c r="T137" i="8"/>
  <c r="T13" i="11" s="1"/>
  <c r="W137" i="8"/>
  <c r="W13" i="11" s="1"/>
  <c r="AC203" i="8"/>
  <c r="AC16" i="11" s="1"/>
  <c r="T203" i="8"/>
  <c r="T16" i="11" s="1"/>
  <c r="Z225" i="8"/>
  <c r="Z17" i="11" s="1"/>
  <c r="K225" i="8"/>
  <c r="K17" i="11" s="1"/>
  <c r="O181" i="8"/>
  <c r="O15" i="11" s="1"/>
  <c r="AC181" i="8"/>
  <c r="AC15" i="11" s="1"/>
  <c r="S159" i="8"/>
  <c r="S14" i="11" s="1"/>
  <c r="AD159" i="8"/>
  <c r="AD14" i="11" s="1"/>
  <c r="Q159" i="8"/>
  <c r="Q14" i="11" s="1"/>
  <c r="W203" i="8"/>
  <c r="W16" i="11" s="1"/>
  <c r="V225" i="8"/>
  <c r="V17" i="11" s="1"/>
  <c r="K203" i="8"/>
  <c r="K16" i="11" s="1"/>
  <c r="V137" i="8"/>
  <c r="V13" i="11" s="1"/>
  <c r="K181" i="8"/>
  <c r="K15" i="11" s="1"/>
  <c r="X115" i="8"/>
  <c r="X12" i="11" s="1"/>
  <c r="AF115" i="8"/>
  <c r="AF12" i="11" s="1"/>
  <c r="N181" i="8"/>
  <c r="N15" i="11" s="1"/>
  <c r="O159" i="8"/>
  <c r="O14" i="11" s="1"/>
  <c r="AH115" i="8"/>
  <c r="AH12" i="11" s="1"/>
  <c r="R137" i="8"/>
  <c r="R13" i="11" s="1"/>
  <c r="M203" i="8"/>
  <c r="M16" i="11" s="1"/>
  <c r="S203" i="8"/>
  <c r="S16" i="11" s="1"/>
  <c r="M225" i="8"/>
  <c r="M17" i="11" s="1"/>
  <c r="X225" i="8"/>
  <c r="X17" i="11" s="1"/>
  <c r="R225" i="8"/>
  <c r="R17" i="11" s="1"/>
  <c r="O225" i="8"/>
  <c r="O17" i="11" s="1"/>
  <c r="V181" i="8"/>
  <c r="V15" i="11" s="1"/>
  <c r="AB181" i="8"/>
  <c r="AB15" i="11" s="1"/>
  <c r="AJ159" i="8"/>
  <c r="AJ14" i="11" s="1"/>
  <c r="W159" i="8"/>
  <c r="W14" i="11" s="1"/>
  <c r="AC159" i="8"/>
  <c r="AC14" i="11" s="1"/>
  <c r="AF137" i="8"/>
  <c r="AF13" i="11" s="1"/>
  <c r="W225" i="8"/>
  <c r="W17" i="11" s="1"/>
  <c r="AJ181" i="8"/>
  <c r="AJ15" i="11" s="1"/>
  <c r="K137" i="8"/>
  <c r="K13" i="11" s="1"/>
  <c r="AG203" i="8"/>
  <c r="AG16" i="11" s="1"/>
  <c r="S137" i="8"/>
  <c r="S13" i="11" s="1"/>
  <c r="X203" i="8"/>
  <c r="X16" i="11" s="1"/>
  <c r="AF225" i="8"/>
  <c r="AF17" i="11" s="1"/>
  <c r="P159" i="8"/>
  <c r="P14" i="11" s="1"/>
  <c r="N137" i="8"/>
  <c r="N13" i="11" s="1"/>
  <c r="Y203" i="8"/>
  <c r="Y16" i="11" s="1"/>
  <c r="AD203" i="8"/>
  <c r="AD16" i="11" s="1"/>
  <c r="T225" i="8"/>
  <c r="T17" i="11" s="1"/>
  <c r="J225" i="8"/>
  <c r="J17" i="11" s="1"/>
  <c r="U181" i="8"/>
  <c r="U15" i="11" s="1"/>
  <c r="M181" i="8"/>
  <c r="M15" i="11" s="1"/>
  <c r="AG159" i="8"/>
  <c r="AG14" i="11" s="1"/>
  <c r="V159" i="8"/>
  <c r="V14" i="11" s="1"/>
  <c r="N159" i="8"/>
  <c r="N14" i="11" s="1"/>
  <c r="AC225" i="8"/>
  <c r="AC17" i="11" s="1"/>
  <c r="AH181" i="8"/>
  <c r="AH15" i="11" s="1"/>
  <c r="R159" i="8"/>
  <c r="R14" i="11" s="1"/>
  <c r="V203" i="8"/>
  <c r="V16" i="11" s="1"/>
  <c r="U203" i="8"/>
  <c r="U16" i="11" s="1"/>
  <c r="R181" i="8"/>
  <c r="R15" i="11" s="1"/>
  <c r="Y159" i="8"/>
  <c r="Y14" i="11" s="1"/>
  <c r="AI137" i="8"/>
  <c r="AI13" i="11" s="1"/>
  <c r="S225" i="8"/>
  <c r="S17" i="11" s="1"/>
  <c r="W115" i="8"/>
  <c r="W12" i="11" s="1"/>
  <c r="AE203" i="8"/>
  <c r="AE16" i="11" s="1"/>
  <c r="Y225" i="8"/>
  <c r="Y17" i="11" s="1"/>
  <c r="AG181" i="8"/>
  <c r="AG15" i="11" s="1"/>
  <c r="V115" i="8"/>
  <c r="V12" i="11" s="1"/>
  <c r="AC137" i="8"/>
  <c r="AC13" i="11" s="1"/>
  <c r="Q203" i="8"/>
  <c r="Q16" i="11" s="1"/>
  <c r="R203" i="8"/>
  <c r="R16" i="11" s="1"/>
  <c r="P225" i="8"/>
  <c r="P17" i="11" s="1"/>
  <c r="AE225" i="8"/>
  <c r="AE17" i="11" s="1"/>
  <c r="Q181" i="8"/>
  <c r="Q15" i="11" s="1"/>
  <c r="AA181" i="8"/>
  <c r="AA15" i="11" s="1"/>
  <c r="AH159" i="8"/>
  <c r="AH14" i="11" s="1"/>
  <c r="U159" i="8"/>
  <c r="U14" i="11" s="1"/>
  <c r="AB159" i="8"/>
  <c r="AB14" i="11" s="1"/>
  <c r="L30" i="11" l="1"/>
  <c r="O36" i="11"/>
  <c r="O31" i="11"/>
  <c r="P30" i="11"/>
  <c r="M33" i="11"/>
  <c r="P34" i="11"/>
  <c r="J33" i="11"/>
  <c r="O28" i="11"/>
  <c r="J34" i="11"/>
  <c r="L34" i="11"/>
  <c r="N36" i="11"/>
  <c r="N32" i="11"/>
  <c r="R35" i="11"/>
  <c r="Q34" i="11"/>
  <c r="O30" i="11"/>
  <c r="O29" i="11"/>
  <c r="N35" i="11"/>
  <c r="M31" i="11"/>
  <c r="P29" i="11"/>
  <c r="N33" i="11"/>
  <c r="J35" i="11"/>
  <c r="L32" i="11"/>
  <c r="P35" i="11"/>
  <c r="J31" i="11"/>
  <c r="K36" i="11"/>
  <c r="P36" i="11"/>
  <c r="M32" i="11"/>
  <c r="K29" i="11"/>
  <c r="P31" i="11"/>
  <c r="Q35" i="11"/>
  <c r="K28" i="11"/>
  <c r="N28" i="11"/>
  <c r="Q36" i="11"/>
  <c r="N34" i="11"/>
  <c r="J36" i="11"/>
  <c r="R37" i="11"/>
  <c r="L28" i="11"/>
  <c r="L36" i="11"/>
  <c r="R31" i="11"/>
  <c r="Q33" i="11"/>
  <c r="P33" i="11"/>
  <c r="M37" i="11"/>
  <c r="K35" i="11"/>
  <c r="K37" i="11"/>
  <c r="N37" i="11"/>
  <c r="J28" i="11"/>
  <c r="P37" i="11"/>
  <c r="K31" i="11"/>
  <c r="L31" i="11"/>
  <c r="L33" i="11"/>
  <c r="Q31" i="11"/>
  <c r="Q32" i="11"/>
  <c r="M30" i="11"/>
  <c r="Q29" i="11"/>
  <c r="R34" i="11"/>
  <c r="M36" i="11"/>
  <c r="M35" i="11"/>
  <c r="M29" i="11"/>
  <c r="P32" i="11"/>
  <c r="J29" i="11"/>
  <c r="N29" i="11"/>
  <c r="O37" i="11"/>
  <c r="M28" i="11"/>
  <c r="Q37" i="11"/>
  <c r="J37" i="11"/>
  <c r="K34" i="11"/>
  <c r="O35" i="11"/>
  <c r="N30" i="11"/>
  <c r="R30" i="11"/>
  <c r="J32" i="11"/>
  <c r="L37" i="11"/>
  <c r="O33" i="11"/>
  <c r="L35" i="11"/>
  <c r="N31" i="11"/>
  <c r="J30" i="11"/>
  <c r="P28" i="11"/>
  <c r="K33" i="11"/>
  <c r="Q30" i="11"/>
  <c r="R36" i="11"/>
  <c r="Q28" i="11"/>
  <c r="K30" i="11"/>
  <c r="O34" i="11"/>
  <c r="R32" i="11"/>
  <c r="M34" i="11"/>
  <c r="R33" i="11"/>
  <c r="O32" i="11"/>
  <c r="R29" i="11"/>
  <c r="R28" i="11"/>
  <c r="K32" i="11"/>
  <c r="L29" i="11"/>
  <c r="J9" i="10"/>
  <c r="K8" i="10" a="1"/>
  <c r="K8" i="10" s="1"/>
  <c r="K43" i="11" s="1"/>
  <c r="K7" i="10" a="1"/>
  <c r="K7" i="10" s="1"/>
  <c r="K83" i="11" s="1"/>
  <c r="K84" i="11" s="1"/>
  <c r="L18" i="10"/>
  <c r="M14" i="10" s="1"/>
  <c r="K6" i="10" l="1"/>
  <c r="K9" i="10" s="1"/>
  <c r="K60" i="11" s="1"/>
  <c r="J60" i="11"/>
  <c r="L7" i="10" a="1"/>
  <c r="L7" i="10" s="1"/>
  <c r="L83" i="11" s="1"/>
  <c r="L84" i="11" s="1"/>
  <c r="L8" i="10" a="1"/>
  <c r="L8" i="10" s="1"/>
  <c r="L43" i="11" s="1"/>
  <c r="M18" i="10"/>
  <c r="N14" i="10" s="1"/>
  <c r="E7" i="11"/>
  <c r="E27" i="11" s="1"/>
  <c r="M3" i="14" s="1"/>
  <c r="F43" i="6"/>
  <c r="E43" i="6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9" i="2"/>
  <c r="F30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9" i="2"/>
  <c r="K22" i="2" l="1"/>
  <c r="N22" i="2" s="1"/>
  <c r="Q22" i="2" s="1"/>
  <c r="T22" i="2" s="1"/>
  <c r="W22" i="2" s="1"/>
  <c r="Z22" i="2" s="1"/>
  <c r="AC22" i="2" s="1"/>
  <c r="AF22" i="2" s="1"/>
  <c r="AI22" i="2" s="1"/>
  <c r="J22" i="2"/>
  <c r="M22" i="2" s="1"/>
  <c r="P22" i="2" s="1"/>
  <c r="S22" i="2" s="1"/>
  <c r="V22" i="2" s="1"/>
  <c r="Y22" i="2" s="1"/>
  <c r="AB22" i="2" s="1"/>
  <c r="AE22" i="2" s="1"/>
  <c r="AH22" i="2" s="1"/>
  <c r="L22" i="2"/>
  <c r="O22" i="2" s="1"/>
  <c r="R22" i="2" s="1"/>
  <c r="U22" i="2" s="1"/>
  <c r="X22" i="2" s="1"/>
  <c r="AA22" i="2" s="1"/>
  <c r="AD22" i="2" s="1"/>
  <c r="AG22" i="2" s="1"/>
  <c r="AJ22" i="2" s="1"/>
  <c r="K10" i="2"/>
  <c r="N10" i="2" s="1"/>
  <c r="Q10" i="2" s="1"/>
  <c r="T10" i="2" s="1"/>
  <c r="W10" i="2" s="1"/>
  <c r="Z10" i="2" s="1"/>
  <c r="AC10" i="2" s="1"/>
  <c r="AF10" i="2" s="1"/>
  <c r="AI10" i="2" s="1"/>
  <c r="J10" i="2"/>
  <c r="M10" i="2" s="1"/>
  <c r="P10" i="2" s="1"/>
  <c r="S10" i="2" s="1"/>
  <c r="V10" i="2" s="1"/>
  <c r="Y10" i="2" s="1"/>
  <c r="AB10" i="2" s="1"/>
  <c r="AE10" i="2" s="1"/>
  <c r="AH10" i="2" s="1"/>
  <c r="L10" i="2"/>
  <c r="O10" i="2" s="1"/>
  <c r="R10" i="2" s="1"/>
  <c r="U10" i="2" s="1"/>
  <c r="X10" i="2" s="1"/>
  <c r="AA10" i="2" s="1"/>
  <c r="AD10" i="2" s="1"/>
  <c r="AG10" i="2" s="1"/>
  <c r="AJ10" i="2" s="1"/>
  <c r="L23" i="2"/>
  <c r="O23" i="2" s="1"/>
  <c r="R23" i="2" s="1"/>
  <c r="U23" i="2" s="1"/>
  <c r="X23" i="2" s="1"/>
  <c r="AA23" i="2" s="1"/>
  <c r="AD23" i="2" s="1"/>
  <c r="AG23" i="2" s="1"/>
  <c r="AJ23" i="2" s="1"/>
  <c r="J23" i="2"/>
  <c r="M23" i="2" s="1"/>
  <c r="P23" i="2" s="1"/>
  <c r="S23" i="2" s="1"/>
  <c r="V23" i="2" s="1"/>
  <c r="Y23" i="2" s="1"/>
  <c r="AB23" i="2" s="1"/>
  <c r="AE23" i="2" s="1"/>
  <c r="AH23" i="2" s="1"/>
  <c r="K23" i="2"/>
  <c r="N23" i="2" s="1"/>
  <c r="Q23" i="2" s="1"/>
  <c r="T23" i="2" s="1"/>
  <c r="W23" i="2" s="1"/>
  <c r="Z23" i="2" s="1"/>
  <c r="AC23" i="2" s="1"/>
  <c r="AF23" i="2" s="1"/>
  <c r="AI23" i="2" s="1"/>
  <c r="K20" i="2"/>
  <c r="N20" i="2" s="1"/>
  <c r="Q20" i="2" s="1"/>
  <c r="T20" i="2" s="1"/>
  <c r="W20" i="2" s="1"/>
  <c r="Z20" i="2" s="1"/>
  <c r="AC20" i="2" s="1"/>
  <c r="AF20" i="2" s="1"/>
  <c r="AI20" i="2" s="1"/>
  <c r="L20" i="2"/>
  <c r="O20" i="2" s="1"/>
  <c r="R20" i="2" s="1"/>
  <c r="U20" i="2" s="1"/>
  <c r="X20" i="2" s="1"/>
  <c r="AA20" i="2" s="1"/>
  <c r="AD20" i="2" s="1"/>
  <c r="AG20" i="2" s="1"/>
  <c r="AJ20" i="2" s="1"/>
  <c r="J20" i="2"/>
  <c r="M20" i="2" s="1"/>
  <c r="P20" i="2" s="1"/>
  <c r="S20" i="2" s="1"/>
  <c r="V20" i="2" s="1"/>
  <c r="Y20" i="2" s="1"/>
  <c r="AB20" i="2" s="1"/>
  <c r="AE20" i="2" s="1"/>
  <c r="AH20" i="2" s="1"/>
  <c r="L19" i="2"/>
  <c r="O19" i="2" s="1"/>
  <c r="R19" i="2" s="1"/>
  <c r="U19" i="2" s="1"/>
  <c r="X19" i="2" s="1"/>
  <c r="AA19" i="2" s="1"/>
  <c r="AD19" i="2" s="1"/>
  <c r="AG19" i="2" s="1"/>
  <c r="AJ19" i="2" s="1"/>
  <c r="J19" i="2"/>
  <c r="M19" i="2" s="1"/>
  <c r="P19" i="2" s="1"/>
  <c r="S19" i="2" s="1"/>
  <c r="V19" i="2" s="1"/>
  <c r="Y19" i="2" s="1"/>
  <c r="AB19" i="2" s="1"/>
  <c r="AE19" i="2" s="1"/>
  <c r="AH19" i="2" s="1"/>
  <c r="K19" i="2"/>
  <c r="N19" i="2" s="1"/>
  <c r="Q19" i="2" s="1"/>
  <c r="T19" i="2" s="1"/>
  <c r="W19" i="2" s="1"/>
  <c r="Z19" i="2" s="1"/>
  <c r="AC19" i="2" s="1"/>
  <c r="AF19" i="2" s="1"/>
  <c r="AI19" i="2" s="1"/>
  <c r="L11" i="2"/>
  <c r="O11" i="2" s="1"/>
  <c r="R11" i="2" s="1"/>
  <c r="U11" i="2" s="1"/>
  <c r="X11" i="2" s="1"/>
  <c r="AA11" i="2" s="1"/>
  <c r="AD11" i="2" s="1"/>
  <c r="AG11" i="2" s="1"/>
  <c r="AJ11" i="2" s="1"/>
  <c r="J11" i="2"/>
  <c r="M11" i="2" s="1"/>
  <c r="P11" i="2" s="1"/>
  <c r="S11" i="2" s="1"/>
  <c r="V11" i="2" s="1"/>
  <c r="Y11" i="2" s="1"/>
  <c r="AB11" i="2" s="1"/>
  <c r="AE11" i="2" s="1"/>
  <c r="AH11" i="2" s="1"/>
  <c r="K11" i="2"/>
  <c r="N11" i="2" s="1"/>
  <c r="Q11" i="2" s="1"/>
  <c r="T11" i="2" s="1"/>
  <c r="W11" i="2" s="1"/>
  <c r="Z11" i="2" s="1"/>
  <c r="AC11" i="2" s="1"/>
  <c r="AF11" i="2" s="1"/>
  <c r="AI11" i="2" s="1"/>
  <c r="L21" i="2"/>
  <c r="O21" i="2" s="1"/>
  <c r="R21" i="2" s="1"/>
  <c r="U21" i="2" s="1"/>
  <c r="X21" i="2" s="1"/>
  <c r="AA21" i="2" s="1"/>
  <c r="AD21" i="2" s="1"/>
  <c r="AG21" i="2" s="1"/>
  <c r="AJ21" i="2" s="1"/>
  <c r="J21" i="2"/>
  <c r="M21" i="2" s="1"/>
  <c r="P21" i="2" s="1"/>
  <c r="S21" i="2" s="1"/>
  <c r="V21" i="2" s="1"/>
  <c r="Y21" i="2" s="1"/>
  <c r="AB21" i="2" s="1"/>
  <c r="AE21" i="2" s="1"/>
  <c r="AH21" i="2" s="1"/>
  <c r="K21" i="2"/>
  <c r="N21" i="2" s="1"/>
  <c r="Q21" i="2" s="1"/>
  <c r="T21" i="2" s="1"/>
  <c r="W21" i="2" s="1"/>
  <c r="Z21" i="2" s="1"/>
  <c r="AC21" i="2" s="1"/>
  <c r="AF21" i="2" s="1"/>
  <c r="AI21" i="2" s="1"/>
  <c r="J18" i="2"/>
  <c r="M18" i="2" s="1"/>
  <c r="P18" i="2" s="1"/>
  <c r="S18" i="2" s="1"/>
  <c r="V18" i="2" s="1"/>
  <c r="Y18" i="2" s="1"/>
  <c r="AB18" i="2" s="1"/>
  <c r="AE18" i="2" s="1"/>
  <c r="AH18" i="2" s="1"/>
  <c r="K18" i="2"/>
  <c r="N18" i="2" s="1"/>
  <c r="Q18" i="2" s="1"/>
  <c r="T18" i="2" s="1"/>
  <c r="W18" i="2" s="1"/>
  <c r="Z18" i="2" s="1"/>
  <c r="AC18" i="2" s="1"/>
  <c r="AF18" i="2" s="1"/>
  <c r="AI18" i="2" s="1"/>
  <c r="L18" i="2"/>
  <c r="O18" i="2" s="1"/>
  <c r="R18" i="2" s="1"/>
  <c r="U18" i="2" s="1"/>
  <c r="X18" i="2" s="1"/>
  <c r="AA18" i="2" s="1"/>
  <c r="AD18" i="2" s="1"/>
  <c r="AG18" i="2" s="1"/>
  <c r="AJ18" i="2" s="1"/>
  <c r="J17" i="2"/>
  <c r="M17" i="2" s="1"/>
  <c r="P17" i="2" s="1"/>
  <c r="S17" i="2" s="1"/>
  <c r="V17" i="2" s="1"/>
  <c r="Y17" i="2" s="1"/>
  <c r="AB17" i="2" s="1"/>
  <c r="AE17" i="2" s="1"/>
  <c r="AH17" i="2" s="1"/>
  <c r="K17" i="2"/>
  <c r="N17" i="2" s="1"/>
  <c r="Q17" i="2" s="1"/>
  <c r="T17" i="2" s="1"/>
  <c r="W17" i="2" s="1"/>
  <c r="Z17" i="2" s="1"/>
  <c r="AC17" i="2" s="1"/>
  <c r="AF17" i="2" s="1"/>
  <c r="AI17" i="2" s="1"/>
  <c r="L17" i="2"/>
  <c r="O17" i="2" s="1"/>
  <c r="R17" i="2" s="1"/>
  <c r="U17" i="2" s="1"/>
  <c r="X17" i="2" s="1"/>
  <c r="AA17" i="2" s="1"/>
  <c r="AD17" i="2" s="1"/>
  <c r="AG17" i="2" s="1"/>
  <c r="AJ17" i="2" s="1"/>
  <c r="L9" i="2"/>
  <c r="O9" i="2" s="1"/>
  <c r="R9" i="2" s="1"/>
  <c r="U9" i="2" s="1"/>
  <c r="X9" i="2" s="1"/>
  <c r="AA9" i="2" s="1"/>
  <c r="AD9" i="2" s="1"/>
  <c r="AG9" i="2" s="1"/>
  <c r="AJ9" i="2" s="1"/>
  <c r="K9" i="2"/>
  <c r="N9" i="2" s="1"/>
  <c r="Q9" i="2" s="1"/>
  <c r="T9" i="2" s="1"/>
  <c r="W9" i="2" s="1"/>
  <c r="Z9" i="2" s="1"/>
  <c r="AC9" i="2" s="1"/>
  <c r="AF9" i="2" s="1"/>
  <c r="AI9" i="2" s="1"/>
  <c r="J9" i="2"/>
  <c r="M9" i="2" s="1"/>
  <c r="P9" i="2" s="1"/>
  <c r="S9" i="2" s="1"/>
  <c r="V9" i="2" s="1"/>
  <c r="Y9" i="2" s="1"/>
  <c r="AB9" i="2" s="1"/>
  <c r="AE9" i="2" s="1"/>
  <c r="AH9" i="2" s="1"/>
  <c r="K16" i="2"/>
  <c r="N16" i="2" s="1"/>
  <c r="Q16" i="2" s="1"/>
  <c r="T16" i="2" s="1"/>
  <c r="W16" i="2" s="1"/>
  <c r="Z16" i="2" s="1"/>
  <c r="AC16" i="2" s="1"/>
  <c r="AF16" i="2" s="1"/>
  <c r="AI16" i="2" s="1"/>
  <c r="L16" i="2"/>
  <c r="O16" i="2" s="1"/>
  <c r="R16" i="2" s="1"/>
  <c r="U16" i="2" s="1"/>
  <c r="X16" i="2" s="1"/>
  <c r="AA16" i="2" s="1"/>
  <c r="AD16" i="2" s="1"/>
  <c r="AG16" i="2" s="1"/>
  <c r="AJ16" i="2" s="1"/>
  <c r="J16" i="2"/>
  <c r="M16" i="2" s="1"/>
  <c r="P16" i="2" s="1"/>
  <c r="S16" i="2" s="1"/>
  <c r="V16" i="2" s="1"/>
  <c r="Y16" i="2" s="1"/>
  <c r="AB16" i="2" s="1"/>
  <c r="AE16" i="2" s="1"/>
  <c r="AH16" i="2" s="1"/>
  <c r="K26" i="2"/>
  <c r="N26" i="2" s="1"/>
  <c r="Q26" i="2" s="1"/>
  <c r="T26" i="2" s="1"/>
  <c r="W26" i="2" s="1"/>
  <c r="Z26" i="2" s="1"/>
  <c r="AC26" i="2" s="1"/>
  <c r="AF26" i="2" s="1"/>
  <c r="AI26" i="2" s="1"/>
  <c r="L26" i="2"/>
  <c r="O26" i="2" s="1"/>
  <c r="R26" i="2" s="1"/>
  <c r="U26" i="2" s="1"/>
  <c r="X26" i="2" s="1"/>
  <c r="AA26" i="2" s="1"/>
  <c r="AD26" i="2" s="1"/>
  <c r="AG26" i="2" s="1"/>
  <c r="AJ26" i="2" s="1"/>
  <c r="J26" i="2"/>
  <c r="M26" i="2" s="1"/>
  <c r="P26" i="2" s="1"/>
  <c r="S26" i="2" s="1"/>
  <c r="V26" i="2" s="1"/>
  <c r="Y26" i="2" s="1"/>
  <c r="AB26" i="2" s="1"/>
  <c r="AE26" i="2" s="1"/>
  <c r="AH26" i="2" s="1"/>
  <c r="K14" i="2"/>
  <c r="N14" i="2" s="1"/>
  <c r="Q14" i="2" s="1"/>
  <c r="T14" i="2" s="1"/>
  <c r="W14" i="2" s="1"/>
  <c r="Z14" i="2" s="1"/>
  <c r="AC14" i="2" s="1"/>
  <c r="AF14" i="2" s="1"/>
  <c r="AI14" i="2" s="1"/>
  <c r="L14" i="2"/>
  <c r="O14" i="2" s="1"/>
  <c r="R14" i="2" s="1"/>
  <c r="U14" i="2" s="1"/>
  <c r="X14" i="2" s="1"/>
  <c r="AA14" i="2" s="1"/>
  <c r="AD14" i="2" s="1"/>
  <c r="AG14" i="2" s="1"/>
  <c r="AJ14" i="2" s="1"/>
  <c r="J14" i="2"/>
  <c r="M14" i="2" s="1"/>
  <c r="P14" i="2" s="1"/>
  <c r="S14" i="2" s="1"/>
  <c r="V14" i="2" s="1"/>
  <c r="Y14" i="2" s="1"/>
  <c r="AB14" i="2" s="1"/>
  <c r="AE14" i="2" s="1"/>
  <c r="AH14" i="2" s="1"/>
  <c r="L27" i="2"/>
  <c r="O27" i="2" s="1"/>
  <c r="R27" i="2" s="1"/>
  <c r="U27" i="2" s="1"/>
  <c r="X27" i="2" s="1"/>
  <c r="AA27" i="2" s="1"/>
  <c r="AD27" i="2" s="1"/>
  <c r="AG27" i="2" s="1"/>
  <c r="AJ27" i="2" s="1"/>
  <c r="K27" i="2"/>
  <c r="N27" i="2" s="1"/>
  <c r="Q27" i="2" s="1"/>
  <c r="T27" i="2" s="1"/>
  <c r="W27" i="2" s="1"/>
  <c r="Z27" i="2" s="1"/>
  <c r="AC27" i="2" s="1"/>
  <c r="AF27" i="2" s="1"/>
  <c r="AI27" i="2" s="1"/>
  <c r="J27" i="2"/>
  <c r="M27" i="2" s="1"/>
  <c r="P27" i="2" s="1"/>
  <c r="S27" i="2" s="1"/>
  <c r="V27" i="2" s="1"/>
  <c r="Y27" i="2" s="1"/>
  <c r="AB27" i="2" s="1"/>
  <c r="AE27" i="2" s="1"/>
  <c r="AH27" i="2" s="1"/>
  <c r="L15" i="2"/>
  <c r="O15" i="2" s="1"/>
  <c r="R15" i="2" s="1"/>
  <c r="U15" i="2" s="1"/>
  <c r="X15" i="2" s="1"/>
  <c r="AA15" i="2" s="1"/>
  <c r="AD15" i="2" s="1"/>
  <c r="AG15" i="2" s="1"/>
  <c r="AJ15" i="2" s="1"/>
  <c r="K15" i="2"/>
  <c r="N15" i="2" s="1"/>
  <c r="Q15" i="2" s="1"/>
  <c r="T15" i="2" s="1"/>
  <c r="W15" i="2" s="1"/>
  <c r="Z15" i="2" s="1"/>
  <c r="AC15" i="2" s="1"/>
  <c r="AF15" i="2" s="1"/>
  <c r="AI15" i="2" s="1"/>
  <c r="J15" i="2"/>
  <c r="M15" i="2" s="1"/>
  <c r="P15" i="2" s="1"/>
  <c r="S15" i="2" s="1"/>
  <c r="V15" i="2" s="1"/>
  <c r="Y15" i="2" s="1"/>
  <c r="AB15" i="2" s="1"/>
  <c r="AE15" i="2" s="1"/>
  <c r="AH15" i="2" s="1"/>
  <c r="L25" i="2"/>
  <c r="O25" i="2" s="1"/>
  <c r="R25" i="2" s="1"/>
  <c r="U25" i="2" s="1"/>
  <c r="X25" i="2" s="1"/>
  <c r="AA25" i="2" s="1"/>
  <c r="AD25" i="2" s="1"/>
  <c r="AG25" i="2" s="1"/>
  <c r="AJ25" i="2" s="1"/>
  <c r="J25" i="2"/>
  <c r="M25" i="2" s="1"/>
  <c r="P25" i="2" s="1"/>
  <c r="S25" i="2" s="1"/>
  <c r="V25" i="2" s="1"/>
  <c r="Y25" i="2" s="1"/>
  <c r="AB25" i="2" s="1"/>
  <c r="AE25" i="2" s="1"/>
  <c r="AH25" i="2" s="1"/>
  <c r="K25" i="2"/>
  <c r="N25" i="2" s="1"/>
  <c r="Q25" i="2" s="1"/>
  <c r="T25" i="2" s="1"/>
  <c r="W25" i="2" s="1"/>
  <c r="Z25" i="2" s="1"/>
  <c r="AC25" i="2" s="1"/>
  <c r="AF25" i="2" s="1"/>
  <c r="AI25" i="2" s="1"/>
  <c r="L13" i="2"/>
  <c r="O13" i="2" s="1"/>
  <c r="R13" i="2" s="1"/>
  <c r="U13" i="2" s="1"/>
  <c r="X13" i="2" s="1"/>
  <c r="AA13" i="2" s="1"/>
  <c r="AD13" i="2" s="1"/>
  <c r="AG13" i="2" s="1"/>
  <c r="AJ13" i="2" s="1"/>
  <c r="K13" i="2"/>
  <c r="N13" i="2" s="1"/>
  <c r="Q13" i="2" s="1"/>
  <c r="T13" i="2" s="1"/>
  <c r="W13" i="2" s="1"/>
  <c r="Z13" i="2" s="1"/>
  <c r="AC13" i="2" s="1"/>
  <c r="AF13" i="2" s="1"/>
  <c r="AI13" i="2" s="1"/>
  <c r="J13" i="2"/>
  <c r="M13" i="2" s="1"/>
  <c r="P13" i="2" s="1"/>
  <c r="S13" i="2" s="1"/>
  <c r="V13" i="2" s="1"/>
  <c r="Y13" i="2" s="1"/>
  <c r="AB13" i="2" s="1"/>
  <c r="AE13" i="2" s="1"/>
  <c r="AH13" i="2" s="1"/>
  <c r="K24" i="2"/>
  <c r="N24" i="2" s="1"/>
  <c r="Q24" i="2" s="1"/>
  <c r="T24" i="2" s="1"/>
  <c r="W24" i="2" s="1"/>
  <c r="Z24" i="2" s="1"/>
  <c r="AC24" i="2" s="1"/>
  <c r="AF24" i="2" s="1"/>
  <c r="AI24" i="2" s="1"/>
  <c r="L24" i="2"/>
  <c r="O24" i="2" s="1"/>
  <c r="R24" i="2" s="1"/>
  <c r="U24" i="2" s="1"/>
  <c r="X24" i="2" s="1"/>
  <c r="AA24" i="2" s="1"/>
  <c r="AD24" i="2" s="1"/>
  <c r="AG24" i="2" s="1"/>
  <c r="AJ24" i="2" s="1"/>
  <c r="J24" i="2"/>
  <c r="M24" i="2" s="1"/>
  <c r="P24" i="2" s="1"/>
  <c r="S24" i="2" s="1"/>
  <c r="V24" i="2" s="1"/>
  <c r="Y24" i="2" s="1"/>
  <c r="AB24" i="2" s="1"/>
  <c r="AE24" i="2" s="1"/>
  <c r="AH24" i="2" s="1"/>
  <c r="K12" i="2"/>
  <c r="N12" i="2" s="1"/>
  <c r="Q12" i="2" s="1"/>
  <c r="T12" i="2" s="1"/>
  <c r="W12" i="2" s="1"/>
  <c r="Z12" i="2" s="1"/>
  <c r="AC12" i="2" s="1"/>
  <c r="AF12" i="2" s="1"/>
  <c r="AI12" i="2" s="1"/>
  <c r="L12" i="2"/>
  <c r="O12" i="2" s="1"/>
  <c r="R12" i="2" s="1"/>
  <c r="U12" i="2" s="1"/>
  <c r="X12" i="2" s="1"/>
  <c r="AA12" i="2" s="1"/>
  <c r="AD12" i="2" s="1"/>
  <c r="AG12" i="2" s="1"/>
  <c r="AJ12" i="2" s="1"/>
  <c r="J12" i="2"/>
  <c r="M12" i="2" s="1"/>
  <c r="P12" i="2" s="1"/>
  <c r="S12" i="2" s="1"/>
  <c r="V12" i="2" s="1"/>
  <c r="Y12" i="2" s="1"/>
  <c r="AB12" i="2" s="1"/>
  <c r="AE12" i="2" s="1"/>
  <c r="AH12" i="2" s="1"/>
  <c r="Q4" i="14"/>
  <c r="O10" i="14"/>
  <c r="N3" i="14"/>
  <c r="P7" i="14"/>
  <c r="M5" i="14"/>
  <c r="L10" i="14"/>
  <c r="R4" i="14"/>
  <c r="O4" i="14"/>
  <c r="O2" i="14"/>
  <c r="L5" i="14"/>
  <c r="Q8" i="14"/>
  <c r="Q9" i="14"/>
  <c r="N4" i="14"/>
  <c r="N7" i="14"/>
  <c r="M7" i="14"/>
  <c r="P10" i="14"/>
  <c r="M9" i="14"/>
  <c r="L8" i="14"/>
  <c r="R10" i="14"/>
  <c r="K4" i="14"/>
  <c r="N6" i="14"/>
  <c r="K9" i="14"/>
  <c r="N2" i="14"/>
  <c r="K10" i="14"/>
  <c r="R3" i="14"/>
  <c r="J10" i="14"/>
  <c r="J5" i="14"/>
  <c r="K5" i="14"/>
  <c r="R8" i="14"/>
  <c r="N8" i="14"/>
  <c r="M4" i="14"/>
  <c r="J8" i="14"/>
  <c r="L7" i="14"/>
  <c r="J4" i="14"/>
  <c r="M8" i="14"/>
  <c r="R9" i="14"/>
  <c r="O8" i="14"/>
  <c r="K2" i="14"/>
  <c r="K3" i="14"/>
  <c r="P9" i="14"/>
  <c r="J6" i="14"/>
  <c r="R5" i="14"/>
  <c r="P8" i="14"/>
  <c r="S5" i="14"/>
  <c r="K7" i="14"/>
  <c r="R6" i="14"/>
  <c r="Q10" i="14"/>
  <c r="S8" i="14"/>
  <c r="O9" i="14"/>
  <c r="L6" i="14"/>
  <c r="J9" i="14"/>
  <c r="K6" i="14"/>
  <c r="K8" i="14"/>
  <c r="S4" i="14"/>
  <c r="N10" i="14"/>
  <c r="M6" i="14"/>
  <c r="P4" i="14"/>
  <c r="P6" i="14"/>
  <c r="S2" i="14"/>
  <c r="J2" i="14"/>
  <c r="J3" i="14"/>
  <c r="O6" i="14"/>
  <c r="R2" i="14"/>
  <c r="N9" i="14"/>
  <c r="P2" i="14"/>
  <c r="Q2" i="14"/>
  <c r="R7" i="14"/>
  <c r="Q3" i="14"/>
  <c r="M2" i="14"/>
  <c r="S10" i="14"/>
  <c r="N5" i="14"/>
  <c r="O5" i="14"/>
  <c r="L4" i="14"/>
  <c r="Q6" i="14"/>
  <c r="O3" i="14"/>
  <c r="M10" i="14"/>
  <c r="J7" i="14"/>
  <c r="P3" i="14"/>
  <c r="Q5" i="14"/>
  <c r="S3" i="14"/>
  <c r="L9" i="14"/>
  <c r="S9" i="14"/>
  <c r="S6" i="14"/>
  <c r="L3" i="14"/>
  <c r="S7" i="14"/>
  <c r="Q7" i="14"/>
  <c r="O7" i="14"/>
  <c r="P5" i="14"/>
  <c r="L2" i="14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L8" i="6"/>
  <c r="L12" i="6"/>
  <c r="L16" i="6"/>
  <c r="L20" i="6"/>
  <c r="L24" i="6"/>
  <c r="L28" i="6"/>
  <c r="L32" i="6"/>
  <c r="L36" i="6"/>
  <c r="L40" i="6"/>
  <c r="L9" i="6"/>
  <c r="L13" i="6"/>
  <c r="L17" i="6"/>
  <c r="L21" i="6"/>
  <c r="L25" i="6"/>
  <c r="L29" i="6"/>
  <c r="L33" i="6"/>
  <c r="L37" i="6"/>
  <c r="L41" i="6"/>
  <c r="J10" i="6"/>
  <c r="J14" i="6"/>
  <c r="J18" i="6"/>
  <c r="J22" i="6"/>
  <c r="J26" i="6"/>
  <c r="J30" i="6"/>
  <c r="J34" i="6"/>
  <c r="J38" i="6"/>
  <c r="K7" i="6"/>
  <c r="K10" i="6"/>
  <c r="K14" i="6"/>
  <c r="K18" i="6"/>
  <c r="K22" i="6"/>
  <c r="K26" i="6"/>
  <c r="K30" i="6"/>
  <c r="K34" i="6"/>
  <c r="K38" i="6"/>
  <c r="L7" i="6"/>
  <c r="M27" i="6"/>
  <c r="M30" i="6"/>
  <c r="M33" i="6"/>
  <c r="M36" i="6"/>
  <c r="M39" i="6"/>
  <c r="N7" i="6"/>
  <c r="J12" i="6"/>
  <c r="L18" i="6"/>
  <c r="J24" i="6"/>
  <c r="L30" i="6"/>
  <c r="J36" i="6"/>
  <c r="K12" i="6"/>
  <c r="K24" i="6"/>
  <c r="J31" i="6"/>
  <c r="J37" i="6"/>
  <c r="L19" i="6"/>
  <c r="L31" i="6"/>
  <c r="M25" i="6"/>
  <c r="M34" i="6"/>
  <c r="M40" i="6"/>
  <c r="L14" i="6"/>
  <c r="L26" i="6"/>
  <c r="N31" i="6"/>
  <c r="N37" i="6"/>
  <c r="N40" i="6"/>
  <c r="J15" i="6"/>
  <c r="J27" i="6"/>
  <c r="J39" i="6"/>
  <c r="J9" i="6"/>
  <c r="J21" i="6"/>
  <c r="K39" i="6"/>
  <c r="M24" i="6"/>
  <c r="N27" i="6"/>
  <c r="N30" i="6"/>
  <c r="N33" i="6"/>
  <c r="N36" i="6"/>
  <c r="N39" i="6"/>
  <c r="J19" i="6"/>
  <c r="K36" i="6"/>
  <c r="K15" i="6"/>
  <c r="J33" i="6"/>
  <c r="N24" i="6"/>
  <c r="J13" i="6"/>
  <c r="K19" i="6"/>
  <c r="J25" i="6"/>
  <c r="K31" i="6"/>
  <c r="M31" i="6"/>
  <c r="L38" i="6"/>
  <c r="N25" i="6"/>
  <c r="N28" i="6"/>
  <c r="K13" i="6"/>
  <c r="K25" i="6"/>
  <c r="K37" i="6"/>
  <c r="M28" i="6"/>
  <c r="M37" i="6"/>
  <c r="J8" i="6"/>
  <c r="J20" i="6"/>
  <c r="J32" i="6"/>
  <c r="N34" i="6"/>
  <c r="K8" i="6"/>
  <c r="K20" i="6"/>
  <c r="K32" i="6"/>
  <c r="K27" i="6"/>
  <c r="M26" i="6"/>
  <c r="N35" i="6"/>
  <c r="K16" i="6"/>
  <c r="K29" i="6"/>
  <c r="J35" i="6"/>
  <c r="K9" i="6"/>
  <c r="M16" i="6"/>
  <c r="N13" i="6"/>
  <c r="M38" i="6"/>
  <c r="L23" i="6"/>
  <c r="M14" i="6"/>
  <c r="K28" i="6"/>
  <c r="N11" i="6"/>
  <c r="N23" i="6"/>
  <c r="J16" i="6"/>
  <c r="N26" i="6"/>
  <c r="J17" i="6"/>
  <c r="K33" i="6"/>
  <c r="L35" i="6"/>
  <c r="M13" i="6"/>
  <c r="M19" i="6"/>
  <c r="L10" i="6"/>
  <c r="N10" i="6"/>
  <c r="N22" i="6"/>
  <c r="K40" i="6"/>
  <c r="J28" i="6"/>
  <c r="J41" i="6"/>
  <c r="N14" i="6"/>
  <c r="M35" i="6"/>
  <c r="M9" i="6"/>
  <c r="M12" i="6"/>
  <c r="M15" i="6"/>
  <c r="M18" i="6"/>
  <c r="M21" i="6"/>
  <c r="K17" i="6"/>
  <c r="L34" i="6"/>
  <c r="M32" i="6"/>
  <c r="N41" i="6"/>
  <c r="L22" i="6"/>
  <c r="M22" i="6"/>
  <c r="K23" i="6"/>
  <c r="N19" i="6"/>
  <c r="M29" i="6"/>
  <c r="J11" i="6"/>
  <c r="N29" i="6"/>
  <c r="L27" i="6"/>
  <c r="L11" i="6"/>
  <c r="M8" i="6"/>
  <c r="M20" i="6"/>
  <c r="L15" i="6"/>
  <c r="N17" i="6"/>
  <c r="N9" i="6"/>
  <c r="N12" i="6"/>
  <c r="N15" i="6"/>
  <c r="N18" i="6"/>
  <c r="N21" i="6"/>
  <c r="M41" i="6"/>
  <c r="K21" i="6"/>
  <c r="N32" i="6"/>
  <c r="K35" i="6"/>
  <c r="J23" i="6"/>
  <c r="M10" i="6"/>
  <c r="L39" i="6"/>
  <c r="N16" i="6"/>
  <c r="J40" i="6"/>
  <c r="N38" i="6"/>
  <c r="K11" i="6"/>
  <c r="M11" i="6"/>
  <c r="M17" i="6"/>
  <c r="M23" i="6"/>
  <c r="K41" i="6"/>
  <c r="N8" i="6"/>
  <c r="N20" i="6"/>
  <c r="J29" i="6"/>
  <c r="L6" i="10"/>
  <c r="L9" i="10" s="1"/>
  <c r="L60" i="11" s="1"/>
  <c r="M7" i="10" a="1"/>
  <c r="M7" i="10" s="1"/>
  <c r="M83" i="11" s="1"/>
  <c r="M84" i="11" s="1"/>
  <c r="M8" i="10" a="1"/>
  <c r="M8" i="10" s="1"/>
  <c r="M43" i="11" s="1"/>
  <c r="N18" i="10"/>
  <c r="O14" i="10" s="1"/>
  <c r="J42" i="6" l="1"/>
  <c r="L42" i="6"/>
  <c r="K42" i="6"/>
  <c r="K18" i="11" s="1"/>
  <c r="O28" i="2"/>
  <c r="O7" i="11" s="1"/>
  <c r="O58" i="11" s="1"/>
  <c r="N28" i="2"/>
  <c r="N7" i="11" s="1"/>
  <c r="N58" i="11" s="1"/>
  <c r="L28" i="2"/>
  <c r="L7" i="11" s="1"/>
  <c r="L58" i="11" s="1"/>
  <c r="Z42" i="6"/>
  <c r="Z18" i="11" s="1"/>
  <c r="Z19" i="11" s="1"/>
  <c r="AD42" i="6"/>
  <c r="AD18" i="11" s="1"/>
  <c r="AD19" i="11" s="1"/>
  <c r="AA42" i="6"/>
  <c r="AA18" i="11" s="1"/>
  <c r="AA19" i="11" s="1"/>
  <c r="S42" i="6"/>
  <c r="S18" i="11" s="1"/>
  <c r="AG42" i="6"/>
  <c r="AG18" i="11" s="1"/>
  <c r="AG19" i="11" s="1"/>
  <c r="W42" i="6"/>
  <c r="W18" i="11" s="1"/>
  <c r="W19" i="11" s="1"/>
  <c r="U42" i="6"/>
  <c r="U18" i="11" s="1"/>
  <c r="U19" i="11" s="1"/>
  <c r="AB42" i="6"/>
  <c r="AB18" i="11" s="1"/>
  <c r="Y42" i="6"/>
  <c r="Y18" i="11" s="1"/>
  <c r="X42" i="6"/>
  <c r="X18" i="11" s="1"/>
  <c r="X19" i="11" s="1"/>
  <c r="AI42" i="6"/>
  <c r="AI18" i="11" s="1"/>
  <c r="AI19" i="11" s="1"/>
  <c r="AF42" i="6"/>
  <c r="AF18" i="11" s="1"/>
  <c r="AF19" i="11" s="1"/>
  <c r="J18" i="11"/>
  <c r="AH42" i="6"/>
  <c r="AH18" i="11" s="1"/>
  <c r="Q42" i="6"/>
  <c r="Q18" i="11" s="1"/>
  <c r="T42" i="6"/>
  <c r="T18" i="11" s="1"/>
  <c r="T19" i="11" s="1"/>
  <c r="AC42" i="6"/>
  <c r="AC18" i="11" s="1"/>
  <c r="AC19" i="11" s="1"/>
  <c r="R42" i="6"/>
  <c r="R18" i="11" s="1"/>
  <c r="L18" i="11"/>
  <c r="M42" i="6"/>
  <c r="M18" i="11" s="1"/>
  <c r="N42" i="6"/>
  <c r="N18" i="11" s="1"/>
  <c r="AE42" i="6"/>
  <c r="AE18" i="11" s="1"/>
  <c r="V42" i="6"/>
  <c r="V18" i="11" s="1"/>
  <c r="O42" i="6"/>
  <c r="O18" i="11" s="1"/>
  <c r="AJ42" i="6"/>
  <c r="AJ18" i="11" s="1"/>
  <c r="AJ19" i="11" s="1"/>
  <c r="P42" i="6"/>
  <c r="P18" i="11" s="1"/>
  <c r="X28" i="2"/>
  <c r="X7" i="11" s="1"/>
  <c r="Y28" i="2"/>
  <c r="Y7" i="11" s="1"/>
  <c r="Z28" i="2"/>
  <c r="Z7" i="11" s="1"/>
  <c r="W28" i="2"/>
  <c r="W7" i="11" s="1"/>
  <c r="K28" i="2"/>
  <c r="K7" i="11" s="1"/>
  <c r="K58" i="11" s="1"/>
  <c r="U28" i="2"/>
  <c r="U7" i="11" s="1"/>
  <c r="AF28" i="2"/>
  <c r="AF7" i="11" s="1"/>
  <c r="AB28" i="2"/>
  <c r="AB7" i="11" s="1"/>
  <c r="P28" i="2"/>
  <c r="P7" i="11" s="1"/>
  <c r="P58" i="11" s="1"/>
  <c r="AI28" i="2"/>
  <c r="AI7" i="11" s="1"/>
  <c r="AD28" i="2"/>
  <c r="AD7" i="11" s="1"/>
  <c r="AC28" i="2"/>
  <c r="AC7" i="11" s="1"/>
  <c r="AG28" i="2"/>
  <c r="AG7" i="11" s="1"/>
  <c r="R28" i="2"/>
  <c r="R7" i="11" s="1"/>
  <c r="R58" i="11" s="1"/>
  <c r="J28" i="2"/>
  <c r="J7" i="11" s="1"/>
  <c r="J58" i="11" s="1"/>
  <c r="J8" i="12" s="1"/>
  <c r="Q28" i="2"/>
  <c r="Q7" i="11" s="1"/>
  <c r="Q58" i="11" s="1"/>
  <c r="AE28" i="2"/>
  <c r="AE7" i="11" s="1"/>
  <c r="AA28" i="2"/>
  <c r="AA7" i="11" s="1"/>
  <c r="AJ28" i="2"/>
  <c r="AJ7" i="11" s="1"/>
  <c r="AH28" i="2"/>
  <c r="AH7" i="11" s="1"/>
  <c r="S28" i="2"/>
  <c r="S7" i="11" s="1"/>
  <c r="V28" i="2"/>
  <c r="V7" i="11" s="1"/>
  <c r="T28" i="2"/>
  <c r="T7" i="11" s="1"/>
  <c r="M28" i="2"/>
  <c r="M7" i="11" s="1"/>
  <c r="M58" i="11" s="1"/>
  <c r="M6" i="10"/>
  <c r="M9" i="10" s="1"/>
  <c r="M60" i="11" s="1"/>
  <c r="N8" i="10" a="1"/>
  <c r="N8" i="10" s="1"/>
  <c r="N43" i="11" s="1"/>
  <c r="N7" i="10" a="1"/>
  <c r="N7" i="10" s="1"/>
  <c r="N83" i="11" s="1"/>
  <c r="N84" i="11" s="1"/>
  <c r="O18" i="10"/>
  <c r="P14" i="10" s="1"/>
  <c r="L8" i="12" l="1"/>
  <c r="L38" i="11"/>
  <c r="I4" i="14" s="1"/>
  <c r="Z20" i="11"/>
  <c r="Z22" i="11" s="1"/>
  <c r="AD20" i="11"/>
  <c r="AD22" i="11" s="1"/>
  <c r="AG20" i="11"/>
  <c r="AG22" i="11" s="1"/>
  <c r="AE19" i="11"/>
  <c r="Q39" i="11" s="1"/>
  <c r="C9" i="14" s="1"/>
  <c r="Q38" i="11"/>
  <c r="I9" i="14" s="1"/>
  <c r="Y19" i="11"/>
  <c r="O39" i="11" s="1"/>
  <c r="C7" i="14" s="1"/>
  <c r="O38" i="11"/>
  <c r="I7" i="14" s="1"/>
  <c r="V19" i="11"/>
  <c r="V20" i="11" s="1"/>
  <c r="N38" i="11"/>
  <c r="I6" i="14" s="1"/>
  <c r="K38" i="11"/>
  <c r="I3" i="14" s="1"/>
  <c r="AB19" i="11"/>
  <c r="P39" i="11" s="1"/>
  <c r="C8" i="14" s="1"/>
  <c r="P38" i="11"/>
  <c r="I8" i="14" s="1"/>
  <c r="S19" i="11"/>
  <c r="S20" i="11" s="1"/>
  <c r="M38" i="11"/>
  <c r="I5" i="14" s="1"/>
  <c r="AH19" i="11"/>
  <c r="AH20" i="11" s="1"/>
  <c r="R38" i="11"/>
  <c r="I10" i="14" s="1"/>
  <c r="AA20" i="11"/>
  <c r="AA22" i="11" s="1"/>
  <c r="J38" i="11"/>
  <c r="I2" i="14" s="1"/>
  <c r="T20" i="11"/>
  <c r="T22" i="11" s="1"/>
  <c r="X20" i="11"/>
  <c r="X22" i="11" s="1"/>
  <c r="AI20" i="11"/>
  <c r="AI22" i="11" s="1"/>
  <c r="AJ20" i="11"/>
  <c r="AJ22" i="11" s="1"/>
  <c r="J19" i="11"/>
  <c r="J20" i="11" s="1"/>
  <c r="O19" i="11"/>
  <c r="W20" i="11"/>
  <c r="W22" i="11" s="1"/>
  <c r="N19" i="11"/>
  <c r="M19" i="11"/>
  <c r="M20" i="11" s="1"/>
  <c r="L19" i="11"/>
  <c r="L20" i="11" s="1"/>
  <c r="L22" i="11" s="1"/>
  <c r="U20" i="11"/>
  <c r="U22" i="11" s="1"/>
  <c r="R19" i="11"/>
  <c r="R20" i="11" s="1"/>
  <c r="R22" i="11" s="1"/>
  <c r="AF20" i="11"/>
  <c r="AF22" i="11" s="1"/>
  <c r="AC20" i="11"/>
  <c r="AC22" i="11" s="1"/>
  <c r="P19" i="11"/>
  <c r="Q19" i="11"/>
  <c r="Q20" i="11" s="1"/>
  <c r="Q22" i="11" s="1"/>
  <c r="K19" i="11"/>
  <c r="K20" i="11" s="1"/>
  <c r="K22" i="11" s="1"/>
  <c r="R8" i="12"/>
  <c r="N8" i="12"/>
  <c r="P8" i="12"/>
  <c r="K8" i="12"/>
  <c r="O8" i="12"/>
  <c r="Q8" i="12"/>
  <c r="M8" i="12"/>
  <c r="O27" i="11"/>
  <c r="B7" i="14" s="1"/>
  <c r="J27" i="11"/>
  <c r="B2" i="14" s="1"/>
  <c r="N27" i="11"/>
  <c r="B6" i="14" s="1"/>
  <c r="M27" i="11"/>
  <c r="B5" i="14" s="1"/>
  <c r="K27" i="11"/>
  <c r="B3" i="14" s="1"/>
  <c r="L27" i="11"/>
  <c r="B4" i="14" s="1"/>
  <c r="Q27" i="11"/>
  <c r="B9" i="14" s="1"/>
  <c r="R27" i="11"/>
  <c r="B10" i="14" s="1"/>
  <c r="P27" i="11"/>
  <c r="B8" i="14" s="1"/>
  <c r="N6" i="10"/>
  <c r="N9" i="10" s="1"/>
  <c r="N60" i="11" s="1"/>
  <c r="O7" i="10" a="1"/>
  <c r="O7" i="10" s="1"/>
  <c r="O83" i="11" s="1"/>
  <c r="O84" i="11" s="1"/>
  <c r="O8" i="10" a="1"/>
  <c r="O8" i="10" s="1"/>
  <c r="O43" i="11" s="1"/>
  <c r="P18" i="10"/>
  <c r="Q14" i="10" s="1"/>
  <c r="AE20" i="11" l="1"/>
  <c r="AE22" i="11" s="1"/>
  <c r="Q42" i="11" s="1"/>
  <c r="Q78" i="11" s="1"/>
  <c r="Y20" i="11"/>
  <c r="Y22" i="11" s="1"/>
  <c r="O42" i="11" s="1"/>
  <c r="O78" i="11" s="1"/>
  <c r="N39" i="11"/>
  <c r="C6" i="14" s="1"/>
  <c r="AB20" i="11"/>
  <c r="AB22" i="11" s="1"/>
  <c r="P42" i="11" s="1"/>
  <c r="P78" i="11" s="1"/>
  <c r="R39" i="11"/>
  <c r="C10" i="14" s="1"/>
  <c r="M39" i="11"/>
  <c r="C5" i="14" s="1"/>
  <c r="P64" i="11"/>
  <c r="L39" i="11"/>
  <c r="C4" i="14" s="1"/>
  <c r="P57" i="11"/>
  <c r="N64" i="11"/>
  <c r="N57" i="11"/>
  <c r="O57" i="11"/>
  <c r="O64" i="11"/>
  <c r="R64" i="11"/>
  <c r="R57" i="11"/>
  <c r="R9" i="12" s="1"/>
  <c r="J39" i="11"/>
  <c r="C2" i="14" s="1"/>
  <c r="J64" i="11"/>
  <c r="J57" i="11"/>
  <c r="J9" i="12" s="1"/>
  <c r="N20" i="11"/>
  <c r="N22" i="11" s="1"/>
  <c r="K57" i="11"/>
  <c r="K64" i="11"/>
  <c r="L64" i="11"/>
  <c r="L57" i="11"/>
  <c r="P20" i="11"/>
  <c r="L40" i="11" s="1"/>
  <c r="D4" i="14" s="1"/>
  <c r="O20" i="11"/>
  <c r="O22" i="11" s="1"/>
  <c r="Q57" i="11"/>
  <c r="Q64" i="11"/>
  <c r="K39" i="11"/>
  <c r="C3" i="14" s="1"/>
  <c r="M64" i="11"/>
  <c r="M57" i="11"/>
  <c r="M22" i="11"/>
  <c r="S22" i="11"/>
  <c r="M42" i="11" s="1"/>
  <c r="M40" i="11"/>
  <c r="D5" i="14" s="1"/>
  <c r="P40" i="11"/>
  <c r="D8" i="14" s="1"/>
  <c r="V22" i="11"/>
  <c r="N42" i="11" s="1"/>
  <c r="N40" i="11"/>
  <c r="D6" i="14" s="1"/>
  <c r="AH22" i="11"/>
  <c r="R42" i="11" s="1"/>
  <c r="R78" i="11" s="1"/>
  <c r="R40" i="11"/>
  <c r="D10" i="14" s="1"/>
  <c r="J22" i="11"/>
  <c r="J42" i="11" s="1"/>
  <c r="J40" i="11"/>
  <c r="D2" i="14" s="1"/>
  <c r="O6" i="10"/>
  <c r="O9" i="10" s="1"/>
  <c r="O60" i="11" s="1"/>
  <c r="P8" i="10" a="1"/>
  <c r="P8" i="10" s="1"/>
  <c r="P43" i="11" s="1"/>
  <c r="P7" i="10" a="1"/>
  <c r="P7" i="10" s="1"/>
  <c r="P83" i="11" s="1"/>
  <c r="P84" i="11" s="1"/>
  <c r="Q18" i="10"/>
  <c r="R14" i="10" s="1"/>
  <c r="O40" i="11" l="1"/>
  <c r="D7" i="14" s="1"/>
  <c r="Q40" i="11"/>
  <c r="D9" i="14" s="1"/>
  <c r="P44" i="11"/>
  <c r="P46" i="11" s="1"/>
  <c r="P47" i="11" s="1"/>
  <c r="P24" i="12" s="1"/>
  <c r="P25" i="12" s="1"/>
  <c r="L9" i="12"/>
  <c r="Q9" i="12"/>
  <c r="O9" i="12"/>
  <c r="M9" i="12"/>
  <c r="R50" i="11"/>
  <c r="G10" i="14" s="1"/>
  <c r="P50" i="11"/>
  <c r="G8" i="14" s="1"/>
  <c r="N50" i="11"/>
  <c r="G6" i="14" s="1"/>
  <c r="L50" i="11"/>
  <c r="G4" i="14" s="1"/>
  <c r="M50" i="11"/>
  <c r="G5" i="14" s="1"/>
  <c r="J50" i="11"/>
  <c r="G2" i="14" s="1"/>
  <c r="K9" i="12"/>
  <c r="K42" i="11"/>
  <c r="K78" i="11" s="1"/>
  <c r="K40" i="11"/>
  <c r="D3" i="14" s="1"/>
  <c r="R65" i="11"/>
  <c r="R10" i="12"/>
  <c r="R11" i="12" s="1"/>
  <c r="R79" i="11" s="1"/>
  <c r="N9" i="12"/>
  <c r="Q65" i="11"/>
  <c r="Q10" i="12"/>
  <c r="N10" i="12"/>
  <c r="N65" i="11"/>
  <c r="P9" i="12"/>
  <c r="M65" i="11"/>
  <c r="M10" i="12"/>
  <c r="L10" i="12"/>
  <c r="L65" i="11"/>
  <c r="K65" i="11"/>
  <c r="K10" i="12"/>
  <c r="O65" i="11"/>
  <c r="O10" i="12"/>
  <c r="P22" i="11"/>
  <c r="L42" i="11" s="1"/>
  <c r="L78" i="11" s="1"/>
  <c r="J10" i="12"/>
  <c r="J11" i="12" s="1"/>
  <c r="J79" i="11" s="1"/>
  <c r="J65" i="11"/>
  <c r="X2" i="14" s="1"/>
  <c r="P10" i="12"/>
  <c r="P65" i="11"/>
  <c r="N78" i="11"/>
  <c r="N44" i="11"/>
  <c r="N46" i="11" s="1"/>
  <c r="N47" i="11" s="1"/>
  <c r="M78" i="11"/>
  <c r="M44" i="11"/>
  <c r="M46" i="11" s="1"/>
  <c r="M47" i="11" s="1"/>
  <c r="O44" i="11"/>
  <c r="O46" i="11" s="1"/>
  <c r="O47" i="11" s="1"/>
  <c r="J78" i="11"/>
  <c r="J44" i="11"/>
  <c r="P6" i="10"/>
  <c r="P9" i="10" s="1"/>
  <c r="P60" i="11" s="1"/>
  <c r="Q7" i="10" a="1"/>
  <c r="Q7" i="10" s="1"/>
  <c r="Q83" i="11" s="1"/>
  <c r="Q84" i="11" s="1"/>
  <c r="Q8" i="10" a="1"/>
  <c r="Q8" i="10" s="1"/>
  <c r="Q43" i="11" s="1"/>
  <c r="Q44" i="11" s="1"/>
  <c r="Q46" i="11" s="1"/>
  <c r="Q47" i="11" s="1"/>
  <c r="R18" i="10"/>
  <c r="O11" i="12" l="1"/>
  <c r="O79" i="11" s="1"/>
  <c r="O50" i="11"/>
  <c r="G7" i="14" s="1"/>
  <c r="Q11" i="12"/>
  <c r="Q79" i="11" s="1"/>
  <c r="Q50" i="11"/>
  <c r="G9" i="14" s="1"/>
  <c r="P48" i="11"/>
  <c r="F8" i="14" s="1"/>
  <c r="L11" i="12"/>
  <c r="L79" i="11" s="1"/>
  <c r="M11" i="12"/>
  <c r="M79" i="11" s="1"/>
  <c r="N68" i="11"/>
  <c r="X6" i="14"/>
  <c r="Q68" i="11"/>
  <c r="X9" i="14"/>
  <c r="O68" i="11"/>
  <c r="X7" i="14"/>
  <c r="K68" i="11"/>
  <c r="X3" i="14"/>
  <c r="R68" i="11"/>
  <c r="X10" i="14"/>
  <c r="P68" i="11"/>
  <c r="X8" i="14"/>
  <c r="M68" i="11"/>
  <c r="X5" i="14"/>
  <c r="L68" i="11"/>
  <c r="X4" i="14"/>
  <c r="K11" i="12"/>
  <c r="K79" i="11" s="1"/>
  <c r="K50" i="11"/>
  <c r="G3" i="14" s="1"/>
  <c r="K44" i="11"/>
  <c r="L44" i="11"/>
  <c r="L46" i="11" s="1"/>
  <c r="L47" i="11" s="1"/>
  <c r="L24" i="12" s="1"/>
  <c r="L25" i="12" s="1"/>
  <c r="P11" i="12"/>
  <c r="P79" i="11" s="1"/>
  <c r="N11" i="12"/>
  <c r="N79" i="11" s="1"/>
  <c r="M48" i="11"/>
  <c r="F5" i="14" s="1"/>
  <c r="M24" i="12"/>
  <c r="M25" i="12" s="1"/>
  <c r="N48" i="11"/>
  <c r="F6" i="14" s="1"/>
  <c r="N24" i="12"/>
  <c r="N25" i="12" s="1"/>
  <c r="O48" i="11"/>
  <c r="F7" i="14" s="1"/>
  <c r="O24" i="12"/>
  <c r="O25" i="12" s="1"/>
  <c r="Q48" i="11"/>
  <c r="F9" i="14" s="1"/>
  <c r="Q24" i="12"/>
  <c r="Q25" i="12" s="1"/>
  <c r="Q6" i="10"/>
  <c r="Q9" i="10" s="1"/>
  <c r="Q60" i="11" s="1"/>
  <c r="R8" i="10" a="1"/>
  <c r="R8" i="10" s="1"/>
  <c r="R43" i="11" s="1"/>
  <c r="R44" i="11" s="1"/>
  <c r="R46" i="11" s="1"/>
  <c r="R47" i="11" s="1"/>
  <c r="R7" i="10" a="1"/>
  <c r="R7" i="10" s="1"/>
  <c r="R83" i="11" s="1"/>
  <c r="R84" i="11" s="1"/>
  <c r="P51" i="11" l="1"/>
  <c r="H8" i="14" s="1"/>
  <c r="P36" i="12"/>
  <c r="P30" i="12"/>
  <c r="P31" i="12" s="1"/>
  <c r="P37" i="12" s="1"/>
  <c r="O36" i="12"/>
  <c r="N36" i="12"/>
  <c r="M36" i="12"/>
  <c r="Q36" i="12"/>
  <c r="K46" i="11"/>
  <c r="L48" i="11"/>
  <c r="F4" i="14" s="1"/>
  <c r="Q51" i="11"/>
  <c r="H9" i="14" s="1"/>
  <c r="Q30" i="12"/>
  <c r="Q31" i="12" s="1"/>
  <c r="Q37" i="12" s="1"/>
  <c r="O30" i="12"/>
  <c r="O31" i="12" s="1"/>
  <c r="O37" i="12" s="1"/>
  <c r="O51" i="11"/>
  <c r="H7" i="14" s="1"/>
  <c r="N30" i="12"/>
  <c r="N31" i="12" s="1"/>
  <c r="N37" i="12" s="1"/>
  <c r="N51" i="11"/>
  <c r="H6" i="14" s="1"/>
  <c r="M30" i="12"/>
  <c r="M31" i="12" s="1"/>
  <c r="M37" i="12" s="1"/>
  <c r="M51" i="11"/>
  <c r="H5" i="14" s="1"/>
  <c r="R48" i="11"/>
  <c r="F10" i="14" s="1"/>
  <c r="R24" i="12"/>
  <c r="R25" i="12" s="1"/>
  <c r="Q80" i="11"/>
  <c r="Q82" i="11" s="1"/>
  <c r="P80" i="11"/>
  <c r="P82" i="11" s="1"/>
  <c r="M80" i="11"/>
  <c r="M82" i="11" s="1"/>
  <c r="O80" i="11"/>
  <c r="O82" i="11" s="1"/>
  <c r="L80" i="11"/>
  <c r="L82" i="11" s="1"/>
  <c r="N80" i="11"/>
  <c r="N82" i="11" s="1"/>
  <c r="R6" i="10"/>
  <c r="R9" i="10" s="1"/>
  <c r="R60" i="11" s="1"/>
  <c r="L36" i="12" l="1"/>
  <c r="R36" i="12"/>
  <c r="L51" i="11"/>
  <c r="H4" i="14" s="1"/>
  <c r="L30" i="12"/>
  <c r="L31" i="12" s="1"/>
  <c r="L37" i="12" s="1"/>
  <c r="K47" i="11"/>
  <c r="R51" i="11"/>
  <c r="H10" i="14" s="1"/>
  <c r="R30" i="12"/>
  <c r="R31" i="12" s="1"/>
  <c r="R37" i="12" s="1"/>
  <c r="R80" i="11"/>
  <c r="R82" i="11" s="1"/>
  <c r="K24" i="12" l="1"/>
  <c r="K25" i="12" s="1"/>
  <c r="K80" i="11" s="1"/>
  <c r="K82" i="11" s="1"/>
  <c r="K48" i="11"/>
  <c r="F3" i="14" s="1"/>
  <c r="Q89" i="11"/>
  <c r="Q90" i="11" s="1"/>
  <c r="Q91" i="11" s="1"/>
  <c r="L89" i="11"/>
  <c r="L90" i="11" s="1"/>
  <c r="L91" i="11" s="1"/>
  <c r="P89" i="11"/>
  <c r="P90" i="11" s="1"/>
  <c r="P91" i="11" s="1"/>
  <c r="M89" i="11"/>
  <c r="M90" i="11" s="1"/>
  <c r="M91" i="11" s="1"/>
  <c r="O89" i="11"/>
  <c r="O90" i="11" s="1"/>
  <c r="O91" i="11" s="1"/>
  <c r="K36" i="12" l="1"/>
  <c r="K30" i="12"/>
  <c r="K31" i="12" s="1"/>
  <c r="K51" i="11"/>
  <c r="H3" i="14" s="1"/>
  <c r="J46" i="11"/>
  <c r="J47" i="11" l="1"/>
  <c r="J24" i="12" s="1"/>
  <c r="K37" i="12"/>
  <c r="K89" i="11"/>
  <c r="K90" i="11" s="1"/>
  <c r="K91" i="11" s="1"/>
  <c r="J48" i="11" l="1"/>
  <c r="F2" i="14" s="1"/>
  <c r="J25" i="12"/>
  <c r="J26" i="12" s="1"/>
  <c r="J51" i="11" l="1"/>
  <c r="H2" i="14" s="1"/>
  <c r="J30" i="12"/>
  <c r="J31" i="12" s="1"/>
  <c r="J37" i="12" s="1"/>
  <c r="J36" i="12"/>
  <c r="K23" i="12"/>
  <c r="K26" i="12" s="1"/>
  <c r="L23" i="12" s="1"/>
  <c r="L26" i="12" s="1"/>
  <c r="M23" i="12" s="1"/>
  <c r="M26" i="12" s="1"/>
  <c r="N23" i="12" s="1"/>
  <c r="N26" i="12" s="1"/>
  <c r="O23" i="12" s="1"/>
  <c r="O26" i="12" s="1"/>
  <c r="P23" i="12" s="1"/>
  <c r="P26" i="12" s="1"/>
  <c r="Q23" i="12" s="1"/>
  <c r="Q26" i="12" s="1"/>
  <c r="R23" i="12" s="1"/>
  <c r="R26" i="12" s="1"/>
  <c r="J80" i="11"/>
  <c r="J82" i="11" s="1"/>
  <c r="J68" i="11"/>
  <c r="J38" i="12" l="1"/>
  <c r="J72" i="11" s="1"/>
  <c r="J73" i="11" s="1"/>
  <c r="J74" i="11" s="1"/>
  <c r="R89" i="11"/>
  <c r="R90" i="11" s="1"/>
  <c r="R91" i="11" s="1"/>
  <c r="N89" i="11"/>
  <c r="N90" i="11" s="1"/>
  <c r="N91" i="11" s="1"/>
  <c r="J32" i="12"/>
  <c r="K29" i="12" s="1"/>
  <c r="K32" i="12" s="1"/>
  <c r="L29" i="12" s="1"/>
  <c r="L32" i="12" s="1"/>
  <c r="M29" i="12" s="1"/>
  <c r="M32" i="12" s="1"/>
  <c r="N29" i="12" s="1"/>
  <c r="N32" i="12" s="1"/>
  <c r="O29" i="12" s="1"/>
  <c r="O32" i="12" s="1"/>
  <c r="P29" i="12" s="1"/>
  <c r="P32" i="12" s="1"/>
  <c r="Q29" i="12" s="1"/>
  <c r="Q32" i="12" s="1"/>
  <c r="R29" i="12" s="1"/>
  <c r="R32" i="12" s="1"/>
  <c r="J89" i="11"/>
  <c r="J90" i="11" s="1"/>
  <c r="J91" i="11" s="1"/>
  <c r="J93" i="11" s="1"/>
  <c r="K92" i="11" s="1"/>
  <c r="K93" i="11" s="1"/>
  <c r="K35" i="12" l="1"/>
  <c r="K38" i="12" s="1"/>
  <c r="L35" i="12" s="1"/>
  <c r="L38" i="12" s="1"/>
  <c r="K56" i="11"/>
  <c r="T3" i="14" s="1"/>
  <c r="L92" i="11"/>
  <c r="L93" i="11" s="1"/>
  <c r="J56" i="11"/>
  <c r="T2" i="14" s="1"/>
  <c r="K72" i="11" l="1"/>
  <c r="K73" i="11" s="1"/>
  <c r="K74" i="11" s="1"/>
  <c r="J59" i="11"/>
  <c r="K59" i="11"/>
  <c r="M35" i="12"/>
  <c r="M38" i="12" s="1"/>
  <c r="L72" i="11"/>
  <c r="L73" i="11" s="1"/>
  <c r="L74" i="11" s="1"/>
  <c r="M92" i="11"/>
  <c r="M93" i="11" s="1"/>
  <c r="L56" i="11"/>
  <c r="K61" i="11" l="1"/>
  <c r="K76" i="11" s="1"/>
  <c r="W3" i="14"/>
  <c r="J61" i="11"/>
  <c r="J76" i="11" s="1"/>
  <c r="W2" i="14"/>
  <c r="L59" i="11"/>
  <c r="T4" i="14"/>
  <c r="N35" i="12"/>
  <c r="N38" i="12" s="1"/>
  <c r="M72" i="11"/>
  <c r="M73" i="11" s="1"/>
  <c r="M74" i="11" s="1"/>
  <c r="M56" i="11"/>
  <c r="N92" i="11"/>
  <c r="N93" i="11" s="1"/>
  <c r="K75" i="11" l="1"/>
  <c r="J75" i="11"/>
  <c r="L61" i="11"/>
  <c r="W4" i="14"/>
  <c r="M59" i="11"/>
  <c r="T5" i="14"/>
  <c r="O35" i="12"/>
  <c r="O38" i="12" s="1"/>
  <c r="N72" i="11"/>
  <c r="N73" i="11" s="1"/>
  <c r="N74" i="11" s="1"/>
  <c r="O92" i="11"/>
  <c r="O93" i="11" s="1"/>
  <c r="N56" i="11"/>
  <c r="M61" i="11" l="1"/>
  <c r="W5" i="14"/>
  <c r="L76" i="11"/>
  <c r="L75" i="11"/>
  <c r="N59" i="11"/>
  <c r="T6" i="14"/>
  <c r="P35" i="12"/>
  <c r="P38" i="12" s="1"/>
  <c r="O72" i="11"/>
  <c r="O73" i="11" s="1"/>
  <c r="O74" i="11" s="1"/>
  <c r="P92" i="11"/>
  <c r="P93" i="11" s="1"/>
  <c r="O56" i="11"/>
  <c r="N61" i="11" l="1"/>
  <c r="W6" i="14"/>
  <c r="M76" i="11"/>
  <c r="M75" i="11"/>
  <c r="O59" i="11"/>
  <c r="T7" i="14"/>
  <c r="Q35" i="12"/>
  <c r="Q38" i="12" s="1"/>
  <c r="P72" i="11"/>
  <c r="P73" i="11" s="1"/>
  <c r="P74" i="11" s="1"/>
  <c r="P56" i="11"/>
  <c r="Q92" i="11"/>
  <c r="Q93" i="11" s="1"/>
  <c r="O61" i="11" l="1"/>
  <c r="O76" i="11" s="1"/>
  <c r="W7" i="14"/>
  <c r="N75" i="11"/>
  <c r="N76" i="11"/>
  <c r="P59" i="11"/>
  <c r="T8" i="14"/>
  <c r="R35" i="12"/>
  <c r="R38" i="12" s="1"/>
  <c r="R72" i="11" s="1"/>
  <c r="R73" i="11" s="1"/>
  <c r="R74" i="11" s="1"/>
  <c r="Q72" i="11"/>
  <c r="Q73" i="11" s="1"/>
  <c r="Q74" i="11" s="1"/>
  <c r="Q56" i="11"/>
  <c r="R92" i="11"/>
  <c r="R93" i="11" s="1"/>
  <c r="R56" i="11" s="1"/>
  <c r="O75" i="11" l="1"/>
  <c r="P61" i="11"/>
  <c r="P75" i="11" s="1"/>
  <c r="W8" i="14"/>
  <c r="R59" i="11"/>
  <c r="T10" i="14"/>
  <c r="Q59" i="11"/>
  <c r="T9" i="14"/>
  <c r="P76" i="11" l="1"/>
  <c r="R61" i="11"/>
  <c r="R75" i="11" s="1"/>
  <c r="W10" i="14"/>
  <c r="Q61" i="11"/>
  <c r="Q76" i="11" s="1"/>
  <c r="W9" i="14"/>
  <c r="Q75" i="11" l="1"/>
  <c r="R7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<sst xmlns="http://schemas.openxmlformats.org/spreadsheetml/2006/main" count="938" uniqueCount="232">
  <si>
    <t>Class</t>
  </si>
  <si>
    <t>Playgroup</t>
  </si>
  <si>
    <t>Number of pupils</t>
  </si>
  <si>
    <t>Creche</t>
  </si>
  <si>
    <t xml:space="preserve">Nursery </t>
  </si>
  <si>
    <t xml:space="preserve">Reception 1 </t>
  </si>
  <si>
    <t xml:space="preserve">Reception 2 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</si>
  <si>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</si>
  <si>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</si>
  <si>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</si>
  <si>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</si>
  <si>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</si>
  <si>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</si>
  <si>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</si>
  <si>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</si>
  <si>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</si>
  <si>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</si>
  <si>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</si>
  <si>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</si>
  <si>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</si>
  <si>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</si>
  <si>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Staff</t>
  </si>
  <si>
    <t>Guidance  &amp; Counselling</t>
  </si>
  <si>
    <t>Teaching Asst.</t>
  </si>
  <si>
    <t xml:space="preserve">Librarian &amp; Matron, </t>
  </si>
  <si>
    <t>Agric. Inst.’R</t>
  </si>
  <si>
    <t>Cooks</t>
  </si>
  <si>
    <t>Weeder</t>
  </si>
  <si>
    <t>Cleaners</t>
  </si>
  <si>
    <t xml:space="preserve"> Receptionist</t>
  </si>
  <si>
    <t>Secretary &amp; Accounts Officer</t>
  </si>
  <si>
    <t>Administrator (Head Of Admi)</t>
  </si>
  <si>
    <t>Sanitary Officer &amp; Sch. Nurse</t>
  </si>
  <si>
    <t>Headmaster</t>
  </si>
  <si>
    <t>Asst. Head</t>
  </si>
  <si>
    <t>Bookshop Keeper</t>
  </si>
  <si>
    <t>Security Officers (10)  (1) &amp; (1)</t>
  </si>
  <si>
    <t>Tuckshop Keeper</t>
  </si>
  <si>
    <t>Start Up Costs</t>
  </si>
  <si>
    <t>Months in a Term</t>
  </si>
  <si>
    <t>Terms in a Year</t>
  </si>
  <si>
    <t>School Fees per Term</t>
  </si>
  <si>
    <t>Stationaries</t>
  </si>
  <si>
    <t>Registration</t>
  </si>
  <si>
    <t>Exams</t>
  </si>
  <si>
    <t>Correspondence</t>
  </si>
  <si>
    <t>Uniform</t>
  </si>
  <si>
    <t>Science Lab, Workshop &amp; ICT</t>
  </si>
  <si>
    <t>First Aid &amp; Toiletries</t>
  </si>
  <si>
    <t>Expenses</t>
  </si>
  <si>
    <t>Extra Curricular &amp; Miscillenous</t>
  </si>
  <si>
    <t>Setup, Registration &amp; Licensing</t>
  </si>
  <si>
    <t>Stationery &amp; Documents</t>
  </si>
  <si>
    <t>Recruitment</t>
  </si>
  <si>
    <t>Marketing &amp; Advertising</t>
  </si>
  <si>
    <t>Electricity &amp; Utilities</t>
  </si>
  <si>
    <t>Internet &amp; Communication</t>
  </si>
  <si>
    <t>Professional fees</t>
  </si>
  <si>
    <t>Training</t>
  </si>
  <si>
    <t>General Maintenance</t>
  </si>
  <si>
    <t>Assets</t>
  </si>
  <si>
    <t>Building</t>
  </si>
  <si>
    <t>Bed &amp; Fittings</t>
  </si>
  <si>
    <t>Office Equipment</t>
  </si>
  <si>
    <t>CCTV &amp; Emergency System</t>
  </si>
  <si>
    <t xml:space="preserve">Classroom Furniture </t>
  </si>
  <si>
    <t xml:space="preserve">Computer </t>
  </si>
  <si>
    <t>Air Conditioner</t>
  </si>
  <si>
    <t>Generator</t>
  </si>
  <si>
    <t>School Bus</t>
  </si>
  <si>
    <t>School Clinic equipment</t>
  </si>
  <si>
    <t>Assumptions</t>
  </si>
  <si>
    <t>1st Term</t>
  </si>
  <si>
    <t>2nd Term</t>
  </si>
  <si>
    <t>3rd Term</t>
  </si>
  <si>
    <t>FY 1</t>
  </si>
  <si>
    <t>Financial Year 1</t>
  </si>
  <si>
    <t>Financial Year 2</t>
  </si>
  <si>
    <t>Financial Year 3</t>
  </si>
  <si>
    <t>Financial Year 4</t>
  </si>
  <si>
    <t>Financial Year 5</t>
  </si>
  <si>
    <t>Financial Year 6</t>
  </si>
  <si>
    <t>Financial Year 7</t>
  </si>
  <si>
    <t>Financial Year 8</t>
  </si>
  <si>
    <t>Financial Year 9</t>
  </si>
  <si>
    <t>Revenue</t>
  </si>
  <si>
    <t>Total</t>
  </si>
  <si>
    <t>Constant</t>
  </si>
  <si>
    <t>Unit</t>
  </si>
  <si>
    <t>Salaries</t>
  </si>
  <si>
    <t>Direct Costs</t>
  </si>
  <si>
    <t>Operating Expenses</t>
  </si>
  <si>
    <t>Capital Expenditure</t>
  </si>
  <si>
    <t>School fees</t>
  </si>
  <si>
    <t>Number of Students</t>
  </si>
  <si>
    <t>Tuition per Term</t>
  </si>
  <si>
    <t>GHC</t>
  </si>
  <si>
    <t>Staff Salary</t>
  </si>
  <si>
    <t>x</t>
  </si>
  <si>
    <t>Total Revenue</t>
  </si>
  <si>
    <t>Direct Expenses</t>
  </si>
  <si>
    <t>Daily Feeding costs</t>
  </si>
  <si>
    <t>EDIT THIS SHEET ONLY!!! Do not Change Anything in the other sheets</t>
  </si>
  <si>
    <t>Total Feeding</t>
  </si>
  <si>
    <t>Total Stationaries</t>
  </si>
  <si>
    <t>Total Registration</t>
  </si>
  <si>
    <t>Total Exams &amp; Library</t>
  </si>
  <si>
    <t>Total Correspondence</t>
  </si>
  <si>
    <t>Total Exams</t>
  </si>
  <si>
    <t>Total First Aid &amp; Toiletries</t>
  </si>
  <si>
    <t>Total Uniform</t>
  </si>
  <si>
    <t>Total Extra Curricular</t>
  </si>
  <si>
    <t>Total Science &amp; Lab</t>
  </si>
  <si>
    <t>Total Direct Costs</t>
  </si>
  <si>
    <t>Total Operating Expenses</t>
  </si>
  <si>
    <t>Other Operating Expenses per term</t>
  </si>
  <si>
    <t xml:space="preserve">Feeding </t>
  </si>
  <si>
    <t>Miscellenous</t>
  </si>
  <si>
    <t>Asset Register</t>
  </si>
  <si>
    <t>FY 2</t>
  </si>
  <si>
    <t>FY 3</t>
  </si>
  <si>
    <t>FY 4</t>
  </si>
  <si>
    <t>FY 5</t>
  </si>
  <si>
    <t>FY 6</t>
  </si>
  <si>
    <t>FY 7</t>
  </si>
  <si>
    <t>FY 8</t>
  </si>
  <si>
    <t>FY 9</t>
  </si>
  <si>
    <t>Opening Balance</t>
  </si>
  <si>
    <t>Acquisition</t>
  </si>
  <si>
    <t>Closing Balance</t>
  </si>
  <si>
    <t>Aqcuisition</t>
  </si>
  <si>
    <t>Life</t>
  </si>
  <si>
    <t>Total Depreciation</t>
  </si>
  <si>
    <t>New Depreciation</t>
  </si>
  <si>
    <t>Working Capital</t>
  </si>
  <si>
    <t>Gross Profit</t>
  </si>
  <si>
    <t>EBITDA</t>
  </si>
  <si>
    <t xml:space="preserve">EBIT </t>
  </si>
  <si>
    <t>P&amp;L by Term</t>
  </si>
  <si>
    <t>Receivables</t>
  </si>
  <si>
    <t>PPE Closing Balance</t>
  </si>
  <si>
    <t>Total Assets</t>
  </si>
  <si>
    <t>Equity &amp; Liabilities</t>
  </si>
  <si>
    <t>Payables</t>
  </si>
  <si>
    <t>Long term debt</t>
  </si>
  <si>
    <t>Total Liabilities</t>
  </si>
  <si>
    <t>Equity</t>
  </si>
  <si>
    <t>Retained Earnings</t>
  </si>
  <si>
    <t>Owners Capital</t>
  </si>
  <si>
    <t>Cummulative Retained Earnings</t>
  </si>
  <si>
    <t>Inventories</t>
  </si>
  <si>
    <t>Total Equity &amp; Liability</t>
  </si>
  <si>
    <t>Total Current Assets</t>
  </si>
  <si>
    <t xml:space="preserve">Working capital </t>
  </si>
  <si>
    <t>Non Cash Items</t>
  </si>
  <si>
    <t>Acquisitions</t>
  </si>
  <si>
    <t>Cash from Capital</t>
  </si>
  <si>
    <t>Cash from Debt</t>
  </si>
  <si>
    <t>Dividends Paid</t>
  </si>
  <si>
    <t>Total CF from Operating Activities</t>
  </si>
  <si>
    <t>Financial Statements</t>
  </si>
  <si>
    <t>Statement of profit or Loss</t>
  </si>
  <si>
    <t>Statement of Financial Position</t>
  </si>
  <si>
    <t>Statement of Cash Flows</t>
  </si>
  <si>
    <t>Total CF from Financing  Activities</t>
  </si>
  <si>
    <t>Total CF from Investing Activities</t>
  </si>
  <si>
    <t>Opening Cash Flows</t>
  </si>
  <si>
    <t>Total Cash Flows FTY</t>
  </si>
  <si>
    <t>Closing Balance Cash Flows</t>
  </si>
  <si>
    <t>Total Equity</t>
  </si>
  <si>
    <t>Total Current Liabilities</t>
  </si>
  <si>
    <t>Total Non Current Liabilities</t>
  </si>
  <si>
    <t>Interest Expense</t>
  </si>
  <si>
    <t>EBT</t>
  </si>
  <si>
    <t>Tax Expense</t>
  </si>
  <si>
    <t>Net Profit</t>
  </si>
  <si>
    <t>NP%</t>
  </si>
  <si>
    <t>GP%</t>
  </si>
  <si>
    <t>Inventory</t>
  </si>
  <si>
    <t>Tax rate</t>
  </si>
  <si>
    <t>Dividend</t>
  </si>
  <si>
    <t>Interest Rate</t>
  </si>
  <si>
    <t>Operating Profit</t>
  </si>
  <si>
    <t>Changes in Working Capital</t>
  </si>
  <si>
    <t>Changes in receivables</t>
  </si>
  <si>
    <t>Changes in Inventories</t>
  </si>
  <si>
    <t>Changes in Payables</t>
  </si>
  <si>
    <t>tax paid</t>
  </si>
  <si>
    <t>Tax paid</t>
  </si>
  <si>
    <t>Interest paid</t>
  </si>
  <si>
    <t>Workings</t>
  </si>
  <si>
    <t>Debt Schedule</t>
  </si>
  <si>
    <t>Opening debt</t>
  </si>
  <si>
    <t>Additions</t>
  </si>
  <si>
    <t>Closing debt</t>
  </si>
  <si>
    <t>Tax Schedule</t>
  </si>
  <si>
    <t>Opening Tax Payables</t>
  </si>
  <si>
    <t>Tax FTY</t>
  </si>
  <si>
    <t>Closing Tax</t>
  </si>
  <si>
    <t>Closing Working Capital</t>
  </si>
  <si>
    <t>Capital Needed</t>
  </si>
  <si>
    <t>Debt</t>
  </si>
  <si>
    <t>Principal payment</t>
  </si>
  <si>
    <t>Years</t>
  </si>
  <si>
    <t>Interest due</t>
  </si>
  <si>
    <t>Dividend Schedule</t>
  </si>
  <si>
    <t>Opening Dividend</t>
  </si>
  <si>
    <t>Dividend Due</t>
  </si>
  <si>
    <t>Dividend Paid</t>
  </si>
  <si>
    <t>Closing Dividend</t>
  </si>
  <si>
    <t>Principal Payments</t>
  </si>
  <si>
    <t>Opening Retaines Earnings</t>
  </si>
  <si>
    <t>Retaines Earnings FTY</t>
  </si>
  <si>
    <t>Cumulative Retained Earnings</t>
  </si>
  <si>
    <t>Balance Sheet Check</t>
  </si>
  <si>
    <t>Cash</t>
  </si>
  <si>
    <t>Date</t>
  </si>
  <si>
    <t>Total Salaries</t>
  </si>
  <si>
    <t>Subsequent Years</t>
  </si>
  <si>
    <t>Staff salary per Month</t>
  </si>
  <si>
    <t>Best Case</t>
  </si>
  <si>
    <t>Base case</t>
  </si>
  <si>
    <t>Worst Case</t>
  </si>
  <si>
    <t>5% increase from Year 4</t>
  </si>
  <si>
    <t>Click on Cell C11 below to adjust Scenario</t>
  </si>
  <si>
    <t>Scenario</t>
  </si>
  <si>
    <t>Expected</t>
  </si>
  <si>
    <t>Increase from year 4</t>
  </si>
  <si>
    <t xml:space="preserve">Year on Year increase </t>
  </si>
  <si>
    <t>Annual increase in Expenses</t>
  </si>
  <si>
    <t>Library</t>
  </si>
  <si>
    <t>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</si>
</sst>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[$-409]mmm\-yy;@"/>
    <numFmt numFmtId="166" formatCode="#,##0;[Red]\(#,##0\)"/>
    <numFmt numFmtId="167" formatCode="_-* #,##0.0_-;\-* #,##0.0_-;_-* &quot;-&quot;??_-;_-@_-"/>
    <numFmt numFmtId="168" formatCode="0.0000000000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sz val="11"/>
      <color rgb="FF0000B9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1"/>
      <color rgb="FF0000B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4" tint="0.39997558519241921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2">
    <xf numFmtId="0" fontId="0" fillId="0" borderId="0" xfId="0"/>
    <xf numFmtId="0" fontId="2" fillId="0" borderId="0" xfId="0" applyFont="1" applyAlignment="1">
      <alignment horizontal="left"/>
    </xf>
    <xf numFmtId="43" fontId="2" fillId="0" borderId="0" xfId="1" applyFont="1" applyFill="1" applyBorder="1" applyAlignment="1">
      <alignment horizontal="left"/>
    </xf>
    <xf numFmtId="43" fontId="2" fillId="0" borderId="0" xfId="1" applyFont="1" applyBorder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43" fontId="0" fillId="0" borderId="0" xfId="0" applyNumberFormat="1"/>
    <xf numFmtId="0" fontId="0" fillId="3" borderId="0" xfId="0" applyFill="1"/>
    <xf numFmtId="0" fontId="4" fillId="0" borderId="1" xfId="0" applyFont="1" applyBorder="1"/>
    <xf numFmtId="164" fontId="0" fillId="0" borderId="0" xfId="1" applyNumberFormat="1" applyFont="1"/>
    <xf numFmtId="164" fontId="3" fillId="2" borderId="0" xfId="1" applyNumberFormat="1" applyFont="1" applyFill="1"/>
    <xf numFmtId="164" fontId="0" fillId="0" borderId="0" xfId="1" applyNumberFormat="1" applyFont="1" applyBorder="1"/>
    <xf numFmtId="164" fontId="3" fillId="2" borderId="0" xfId="1" applyNumberFormat="1" applyFont="1" applyFill="1" applyBorder="1"/>
    <xf numFmtId="164" fontId="4" fillId="0" borderId="1" xfId="1" applyNumberFormat="1" applyFont="1" applyBorder="1"/>
    <xf numFmtId="0" fontId="0" fillId="4" borderId="0" xfId="0" applyFill="1"/>
    <xf numFmtId="17" fontId="0" fillId="4" borderId="0" xfId="0" applyNumberFormat="1" applyFill="1"/>
    <xf numFmtId="0" fontId="0" fillId="5" borderId="0" xfId="0" applyFill="1"/>
    <xf numFmtId="17" fontId="0" fillId="5" borderId="0" xfId="0" applyNumberFormat="1" applyFill="1"/>
    <xf numFmtId="0" fontId="5" fillId="4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5" fillId="0" borderId="0" xfId="0" applyFont="1"/>
    <xf numFmtId="0" fontId="7" fillId="0" borderId="0" xfId="0" applyFont="1"/>
    <xf numFmtId="0" fontId="3" fillId="0" borderId="0" xfId="0" applyFont="1"/>
    <xf numFmtId="164" fontId="0" fillId="0" borderId="0" xfId="1" applyNumberFormat="1" applyFont="1" applyBorder="1" applyAlignment="1">
      <alignment horizontal="left"/>
    </xf>
    <xf numFmtId="9" fontId="3" fillId="0" borderId="0" xfId="0" applyNumberFormat="1" applyFont="1"/>
    <xf numFmtId="9" fontId="3" fillId="2" borderId="0" xfId="2" applyFont="1" applyFill="1"/>
    <xf numFmtId="43" fontId="0" fillId="0" borderId="0" xfId="1" applyFont="1"/>
    <xf numFmtId="0" fontId="9" fillId="6" borderId="0" xfId="0" applyFont="1" applyFill="1"/>
    <xf numFmtId="164" fontId="9" fillId="6" borderId="0" xfId="1" applyNumberFormat="1" applyFont="1" applyFill="1"/>
    <xf numFmtId="0" fontId="8" fillId="0" borderId="0" xfId="0" applyFont="1"/>
    <xf numFmtId="0" fontId="10" fillId="0" borderId="0" xfId="0" applyFont="1"/>
    <xf numFmtId="164" fontId="5" fillId="4" borderId="0" xfId="1" applyNumberFormat="1" applyFont="1" applyFill="1" applyAlignment="1">
      <alignment horizontal="center"/>
    </xf>
    <xf numFmtId="165" fontId="0" fillId="4" borderId="0" xfId="1" applyNumberFormat="1" applyFont="1" applyFill="1"/>
    <xf numFmtId="165" fontId="0" fillId="5" borderId="0" xfId="1" applyNumberFormat="1" applyFont="1" applyFill="1"/>
    <xf numFmtId="0" fontId="11" fillId="0" borderId="0" xfId="0" applyFont="1"/>
    <xf numFmtId="164" fontId="3" fillId="0" borderId="0" xfId="1" applyNumberFormat="1" applyFont="1"/>
    <xf numFmtId="164" fontId="10" fillId="0" borderId="0" xfId="1" applyNumberFormat="1" applyFont="1"/>
    <xf numFmtId="0" fontId="12" fillId="0" borderId="0" xfId="0" applyFont="1"/>
    <xf numFmtId="164" fontId="12" fillId="0" borderId="0" xfId="1" applyNumberFormat="1" applyFont="1"/>
    <xf numFmtId="164" fontId="11" fillId="0" borderId="0" xfId="1" applyNumberFormat="1" applyFont="1"/>
    <xf numFmtId="164" fontId="3" fillId="0" borderId="0" xfId="0" applyNumberFormat="1" applyFont="1"/>
    <xf numFmtId="9" fontId="12" fillId="0" borderId="0" xfId="0" applyNumberFormat="1" applyFont="1"/>
    <xf numFmtId="0" fontId="13" fillId="0" borderId="0" xfId="0" applyFont="1"/>
    <xf numFmtId="164" fontId="13" fillId="0" borderId="0" xfId="1" applyNumberFormat="1" applyFont="1"/>
    <xf numFmtId="165" fontId="0" fillId="0" borderId="0" xfId="0" applyNumberFormat="1"/>
    <xf numFmtId="9" fontId="0" fillId="0" borderId="0" xfId="2" applyFont="1"/>
    <xf numFmtId="166" fontId="0" fillId="0" borderId="0" xfId="1" applyNumberFormat="1" applyFont="1"/>
    <xf numFmtId="166" fontId="0" fillId="0" borderId="0" xfId="0" applyNumberFormat="1"/>
    <xf numFmtId="166" fontId="7" fillId="0" borderId="0" xfId="0" applyNumberFormat="1" applyFont="1"/>
    <xf numFmtId="166" fontId="12" fillId="0" borderId="0" xfId="0" applyNumberFormat="1" applyFont="1"/>
    <xf numFmtId="166" fontId="5" fillId="0" borderId="0" xfId="0" applyNumberFormat="1" applyFont="1"/>
    <xf numFmtId="166" fontId="11" fillId="0" borderId="0" xfId="0" applyNumberFormat="1" applyFont="1"/>
    <xf numFmtId="166" fontId="5" fillId="4" borderId="0" xfId="1" applyNumberFormat="1" applyFont="1" applyFill="1" applyAlignment="1">
      <alignment horizontal="center"/>
    </xf>
    <xf numFmtId="166" fontId="0" fillId="4" borderId="0" xfId="1" applyNumberFormat="1" applyFont="1" applyFill="1"/>
    <xf numFmtId="166" fontId="0" fillId="5" borderId="0" xfId="1" applyNumberFormat="1" applyFont="1" applyFill="1"/>
    <xf numFmtId="166" fontId="5" fillId="0" borderId="0" xfId="1" applyNumberFormat="1" applyFont="1"/>
    <xf numFmtId="166" fontId="3" fillId="0" borderId="0" xfId="1" applyNumberFormat="1" applyFont="1"/>
    <xf numFmtId="166" fontId="3" fillId="0" borderId="0" xfId="0" applyNumberFormat="1" applyFont="1"/>
    <xf numFmtId="166" fontId="12" fillId="0" borderId="0" xfId="1" applyNumberFormat="1" applyFont="1"/>
    <xf numFmtId="166" fontId="10" fillId="0" borderId="0" xfId="0" applyNumberFormat="1" applyFont="1"/>
    <xf numFmtId="166" fontId="5" fillId="4" borderId="0" xfId="0" applyNumberFormat="1" applyFont="1" applyFill="1" applyAlignment="1">
      <alignment horizontal="center"/>
    </xf>
    <xf numFmtId="166" fontId="5" fillId="5" borderId="0" xfId="0" applyNumberFormat="1" applyFont="1" applyFill="1" applyAlignment="1">
      <alignment horizontal="center"/>
    </xf>
    <xf numFmtId="166" fontId="0" fillId="4" borderId="0" xfId="0" applyNumberFormat="1" applyFill="1"/>
    <xf numFmtId="166" fontId="0" fillId="5" borderId="0" xfId="0" applyNumberFormat="1" applyFill="1"/>
    <xf numFmtId="166" fontId="2" fillId="0" borderId="0" xfId="0" applyNumberFormat="1" applyFont="1" applyAlignment="1">
      <alignment horizontal="left"/>
    </xf>
    <xf numFmtId="166" fontId="0" fillId="0" borderId="0" xfId="1" applyNumberFormat="1" applyFont="1" applyFill="1" applyBorder="1"/>
    <xf numFmtId="166" fontId="0" fillId="0" borderId="0" xfId="2" applyNumberFormat="1" applyFont="1" applyFill="1" applyBorder="1"/>
    <xf numFmtId="165" fontId="0" fillId="0" borderId="0" xfId="1" applyNumberFormat="1" applyFont="1" applyFill="1"/>
    <xf numFmtId="0" fontId="0" fillId="0" borderId="0" xfId="1" applyNumberFormat="1" applyFont="1" applyFill="1"/>
    <xf numFmtId="166" fontId="0" fillId="8" borderId="2" xfId="1" applyNumberFormat="1" applyFont="1" applyFill="1" applyBorder="1"/>
    <xf numFmtId="9" fontId="0" fillId="8" borderId="2" xfId="2" applyFont="1" applyFill="1" applyBorder="1"/>
    <xf numFmtId="166" fontId="0" fillId="8" borderId="3" xfId="1" applyNumberFormat="1" applyFont="1" applyFill="1" applyBorder="1"/>
    <xf numFmtId="166" fontId="0" fillId="0" borderId="2" xfId="1" applyNumberFormat="1" applyFont="1" applyBorder="1"/>
    <xf numFmtId="9" fontId="0" fillId="0" borderId="2" xfId="2" applyFont="1" applyBorder="1"/>
    <xf numFmtId="166" fontId="0" fillId="0" borderId="3" xfId="1" applyNumberFormat="1" applyFont="1" applyBorder="1"/>
    <xf numFmtId="43" fontId="5" fillId="0" borderId="4" xfId="1" applyFont="1" applyBorder="1"/>
    <xf numFmtId="164" fontId="5" fillId="0" borderId="4" xfId="1" applyNumberFormat="1" applyFont="1" applyBorder="1"/>
    <xf numFmtId="166" fontId="11" fillId="0" borderId="4" xfId="1" applyNumberFormat="1" applyFont="1" applyBorder="1"/>
    <xf numFmtId="9" fontId="11" fillId="0" borderId="0" xfId="2" applyFont="1"/>
    <xf numFmtId="167" fontId="3" fillId="2" borderId="0" xfId="1" applyNumberFormat="1" applyFont="1" applyFill="1"/>
    <xf numFmtId="164" fontId="0" fillId="0" borderId="0" xfId="1" applyNumberFormat="1" applyFont="1" applyFill="1" applyBorder="1"/>
    <xf numFmtId="9" fontId="10" fillId="2" borderId="0" xfId="2" applyFont="1" applyFill="1"/>
    <xf numFmtId="0" fontId="4" fillId="0" borderId="0" xfId="0" applyFont="1"/>
    <xf numFmtId="164" fontId="4" fillId="0" borderId="0" xfId="1" applyNumberFormat="1" applyFont="1" applyBorder="1"/>
    <xf numFmtId="9" fontId="2" fillId="0" borderId="0" xfId="2" applyFont="1" applyAlignment="1">
      <alignment horizontal="left"/>
    </xf>
    <xf numFmtId="165" fontId="0" fillId="8" borderId="2" xfId="0" applyNumberFormat="1" applyFill="1" applyBorder="1"/>
    <xf numFmtId="165" fontId="0" fillId="0" borderId="2" xfId="0" applyNumberFormat="1" applyBorder="1"/>
    <xf numFmtId="0" fontId="14" fillId="7" borderId="0" xfId="0" applyFont="1" applyFill="1"/>
    <xf numFmtId="0" fontId="14" fillId="7" borderId="5" xfId="0" applyFont="1" applyFill="1" applyBorder="1"/>
    <xf numFmtId="168" fontId="13" fillId="0" borderId="0" xfId="0" applyNumberFormat="1" applyFont="1"/>
    <xf numFmtId="164" fontId="0" fillId="8" borderId="2" xfId="1" applyNumberFormat="1" applyFont="1" applyFill="1" applyBorder="1"/>
    <xf numFmtId="164" fontId="0" fillId="0" borderId="2" xfId="1" applyNumberFormat="1" applyFont="1" applyBorder="1"/>
  </cellXfs>
  <cellStyles count="3">
    <cellStyle name="Comma" xfId="1" builtinId="3"/>
    <cellStyle name="Normal" xfId="0" builtinId="0"/>
    <cellStyle name="Percent" xfId="2" builtinId="5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_-;\-* #,##0_-;_-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_-;\-* #,##0_-;_-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_-;\-* #,##0_-;_-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;[Red]\(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$-409]mmm\-yy;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0000B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9FA663-CC1C-4D6E-8EE6-D7CC0118D686}" name="Table1" displayName="Table1" ref="A1:X10" totalsRowShown="0" headerRowDxfId="26" dataDxfId="25" tableBorderDxfId="24" dataCellStyle="Comma">
  <autoFilter ref="A1:X10" xr:uid="{609FA663-CC1C-4D6E-8EE6-D7CC0118D686}"/>
  <tableColumns count="24">
    <tableColumn id="1" xr3:uid="{B8734356-92B9-40EF-8D50-8C73784F7D4D}" name="Date" dataDxfId="23"/>
    <tableColumn id="2" xr3:uid="{1AEF7393-4DE4-4F27-99B2-F5782E93A619}" name="Total Revenue" dataDxfId="22" dataCellStyle="Comma"/>
    <tableColumn id="3" xr3:uid="{8BA91D12-39D9-4FB4-AAD4-0087B96F7712}" name="Total Direct Costs" dataDxfId="21" dataCellStyle="Comma"/>
    <tableColumn id="4" xr3:uid="{E0F5C145-83D8-4362-B996-6911E82181D7}" name="Gross Profit" dataDxfId="20" dataCellStyle="Comma"/>
    <tableColumn id="5" xr3:uid="{84C3AF3C-80AA-4A33-A8C1-B76322A12AB5}" name="Total Operating Expenses" dataDxfId="19" dataCellStyle="Comma"/>
    <tableColumn id="6" xr3:uid="{CD25F298-7218-4796-999B-506BF3F3A097}" name="Net Profit" dataDxfId="18" dataCellStyle="Comma"/>
    <tableColumn id="7" xr3:uid="{831780EF-F7D3-4C74-8937-EF8C2EEA012D}" name="GP%" dataDxfId="17" dataCellStyle="Percent"/>
    <tableColumn id="8" xr3:uid="{2207D322-BAE1-451C-BEAC-698E68BAB058}" name="NP%" dataDxfId="16" dataCellStyle="Percent"/>
    <tableColumn id="9" xr3:uid="{10DF5856-5865-4165-B8D2-EE2D647DBF25}" name="Total Salaries" dataDxfId="15" dataCellStyle="Comma"/>
    <tableColumn id="10" xr3:uid="{F8DB9238-88C6-4309-9212-C1FAC958664C}" name="Total Feeding" dataDxfId="14" dataCellStyle="Comma"/>
    <tableColumn id="11" xr3:uid="{0981C924-AB5A-4945-B507-9D8EF3230E96}" name="Total Stationaries" dataDxfId="13" dataCellStyle="Comma"/>
    <tableColumn id="12" xr3:uid="{0B11731C-27DD-42FB-A2E9-E97D3CA3EC87}" name="Total Registration" dataDxfId="12" dataCellStyle="Comma"/>
    <tableColumn id="13" xr3:uid="{29C02202-FAF4-4C07-99ED-0D359CD5D119}" name="Total Exams &amp; Library" dataDxfId="11" dataCellStyle="Comma"/>
    <tableColumn id="14" xr3:uid="{FA09221E-1C42-4D89-B702-C88A3EE5EEA8}" name="Total Correspondence" dataDxfId="10" dataCellStyle="Comma"/>
    <tableColumn id="15" xr3:uid="{6C3BD93B-7818-4D66-A1B7-81066BF923DA}" name="Total Exams" dataDxfId="9" dataCellStyle="Comma"/>
    <tableColumn id="16" xr3:uid="{00C52F57-5A9A-47AF-A779-DB13F3E90867}" name="Total Science &amp; Lab" dataDxfId="8" dataCellStyle="Comma"/>
    <tableColumn id="17" xr3:uid="{52E755AF-67D5-40AC-AC60-EE93A5657DA2}" name="Total First Aid &amp; Toiletries" dataDxfId="7" dataCellStyle="Comma"/>
    <tableColumn id="18" xr3:uid="{A8C42D7B-2361-4541-A022-90579E5D5B46}" name="Total Uniform" dataDxfId="6" dataCellStyle="Comma"/>
    <tableColumn id="19" xr3:uid="{306D5A08-ECDA-4391-AC07-84A4113339FE}" name="Total Extra Curricular" dataDxfId="5" dataCellStyle="Comma"/>
    <tableColumn id="20" xr3:uid="{D14603F2-26DF-4A1F-BBA0-27B687A115A9}" name="Cash" dataDxfId="4" dataCellStyle="Comma"/>
    <tableColumn id="21" xr3:uid="{048B724E-3C3B-46CB-A3F4-47D24D75337B}" name="Equity" dataDxfId="3" dataCellStyle="Comma"/>
    <tableColumn id="22" xr3:uid="{02C27A66-01F3-4481-A3F4-5FF582B2B79B}" name="Long term debt" dataDxfId="2" dataCellStyle="Comma"/>
    <tableColumn id="23" xr3:uid="{96C46990-D53F-4786-B048-C6981D5E8E22}" name="Total Current Assets" dataDxfId="1" dataCellStyle="Comma"/>
    <tableColumn id="24" xr3:uid="{0543601F-BDAD-4F4A-A0E5-0A803CDD06A3}" name="Total Current Liabilities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94188-D3EC-4A0C-BF3A-C70B183DE97C}">
  <sheetPr codeName="Sheet1">
    <tabColor rgb="FFFFFF00"/>
  </sheetPr>
  <dimension ref="A1:G338"/>
  <sheetViews>
    <sheetView showGridLines="0" zoomScale="115" zoomScaleNormal="115" workbookViewId="0"/>
  </sheetViews>
  <sheetFormatPr defaultRowHeight="15" x14ac:dyDescent="0.25"/>
  <cols>
    <col min="1" max="1" width="30.7109375" customWidth="1"/>
    <col min="2" max="2" width="18.140625" style="9" customWidth="1"/>
    <col min="3" max="3" width="18.5703125" style="9" customWidth="1"/>
    <col min="4" max="4" width="17.85546875" customWidth="1"/>
    <col min="5" max="5" width="18.28515625" customWidth="1"/>
    <col min="6" max="6" width="12" customWidth="1"/>
  </cols>
  <sheetData>
    <row r="1" spans="1:3" s="27" customFormat="1" ht="31.5" x14ac:dyDescent="0.5">
      <c r="A1" s="27" t="s">
        <v>102</v>
      </c>
      <c r="B1" s="28"/>
      <c r="C1" s="28"/>
    </row>
    <row r="4" spans="1:3" ht="21" x14ac:dyDescent="0.35">
      <c r="A4" s="29" t="s">
        <v>71</v>
      </c>
    </row>
    <row r="6" spans="1:3" x14ac:dyDescent="0.25">
      <c r="A6" t="s">
        <v>200</v>
      </c>
      <c r="B6" s="10">
        <v>30000000</v>
      </c>
    </row>
    <row r="7" spans="1:3" x14ac:dyDescent="0.25">
      <c r="A7" t="s">
        <v>146</v>
      </c>
      <c r="B7" s="25">
        <v>0.7</v>
      </c>
    </row>
    <row r="8" spans="1:3" x14ac:dyDescent="0.25">
      <c r="A8" t="s">
        <v>201</v>
      </c>
      <c r="B8" s="25">
        <v>0.3</v>
      </c>
    </row>
    <row r="9" spans="1:3" x14ac:dyDescent="0.25">
      <c r="B9" s="25"/>
    </row>
    <row r="10" spans="1:3" x14ac:dyDescent="0.25">
      <c r="A10" t="s">
        <v>224</v>
      </c>
      <c r="B10"/>
      <c r="C10"/>
    </row>
    <row r="11" spans="1:3" s="30" customFormat="1" x14ac:dyDescent="0.25">
      <c r="A11" s="30" t="s">
        <v>222</v>
      </c>
      <c r="B11" s="81">
        <f>_xlfn.XLOOKUP(A11,A14:A16,B14:B16)</f>
        <v>0.6</v>
      </c>
    </row>
    <row r="12" spans="1:3" x14ac:dyDescent="0.25">
      <c r="B12"/>
      <c r="C12"/>
    </row>
    <row r="13" spans="1:3" x14ac:dyDescent="0.25">
      <c r="B13"/>
      <c r="C13"/>
    </row>
    <row r="14" spans="1:3" x14ac:dyDescent="0.25">
      <c r="A14" t="s">
        <v>220</v>
      </c>
      <c r="B14" s="25">
        <v>1.2</v>
      </c>
    </row>
    <row r="15" spans="1:3" x14ac:dyDescent="0.25">
      <c r="A15" t="s">
        <v>221</v>
      </c>
      <c r="B15" s="25">
        <v>1</v>
      </c>
      <c r="C15"/>
    </row>
    <row r="16" spans="1:3" x14ac:dyDescent="0.25">
      <c r="A16" t="s">
        <v>222</v>
      </c>
      <c r="B16" s="25">
        <v>0.6</v>
      </c>
      <c r="C16"/>
    </row>
    <row r="18" spans="1:7" x14ac:dyDescent="0.25">
      <c r="A18" t="s">
        <v>139</v>
      </c>
      <c r="B18" s="25">
        <v>0.2</v>
      </c>
    </row>
    <row r="19" spans="1:7" x14ac:dyDescent="0.25">
      <c r="A19" t="s">
        <v>143</v>
      </c>
      <c r="B19" s="25">
        <v>0.3</v>
      </c>
    </row>
    <row r="20" spans="1:7" x14ac:dyDescent="0.25">
      <c r="A20" t="s">
        <v>178</v>
      </c>
      <c r="B20" s="25">
        <v>0.1</v>
      </c>
    </row>
    <row r="21" spans="1:7" x14ac:dyDescent="0.25">
      <c r="B21"/>
    </row>
    <row r="22" spans="1:7" x14ac:dyDescent="0.25">
      <c r="B22"/>
    </row>
    <row r="23" spans="1:7" x14ac:dyDescent="0.25">
      <c r="A23" t="s">
        <v>179</v>
      </c>
      <c r="B23" s="25">
        <v>0.25</v>
      </c>
    </row>
    <row r="24" spans="1:7" x14ac:dyDescent="0.25">
      <c r="A24" t="s">
        <v>180</v>
      </c>
      <c r="B24" s="25">
        <v>0.02</v>
      </c>
    </row>
    <row r="25" spans="1:7" x14ac:dyDescent="0.25">
      <c r="B25"/>
    </row>
    <row r="26" spans="1:7" x14ac:dyDescent="0.25">
      <c r="A26" t="s">
        <v>181</v>
      </c>
      <c r="B26" s="25">
        <v>0.05</v>
      </c>
    </row>
    <row r="28" spans="1:7" x14ac:dyDescent="0.25">
      <c r="A28" t="s">
        <v>231</v>
      </c>
      <c r="B28" s="10">
        <v>1</v>
      </c>
    </row>
    <row r="29" spans="1:7" x14ac:dyDescent="0.25">
      <c r="A29" t="s">
        <v>39</v>
      </c>
      <c r="B29" s="79">
        <v>3.5</v>
      </c>
    </row>
    <row r="30" spans="1:7" x14ac:dyDescent="0.25">
      <c r="A30" t="s">
        <v>40</v>
      </c>
      <c r="B30" s="10">
        <v>3</v>
      </c>
    </row>
    <row r="32" spans="1:7" x14ac:dyDescent="0.25">
      <c r="C32" s="9" t="s">
        <v>226</v>
      </c>
      <c r="G32" s="1"/>
    </row>
    <row r="33" spans="1:7" x14ac:dyDescent="0.25">
      <c r="A33" s="11" t="s">
        <v>2</v>
      </c>
      <c r="B33" s="12">
        <f>C33*B11</f>
        <v>9</v>
      </c>
      <c r="C33" s="9">
        <v>15</v>
      </c>
      <c r="G33" s="1"/>
    </row>
    <row r="34" spans="1:7" x14ac:dyDescent="0.25">
      <c r="A34" s="11"/>
      <c r="B34"/>
      <c r="G34" s="1"/>
    </row>
    <row r="35" spans="1:7" x14ac:dyDescent="0.25">
      <c r="A35" s="23" t="s">
        <v>41</v>
      </c>
      <c r="B35"/>
      <c r="G35" s="1"/>
    </row>
    <row r="36" spans="1:7" x14ac:dyDescent="0.25">
      <c r="A36" s="9" t="s">
        <v>228</v>
      </c>
      <c r="B36" s="45">
        <v>0.05</v>
      </c>
      <c r="G36" s="1"/>
    </row>
    <row r="37" spans="1:7" x14ac:dyDescent="0.25">
      <c r="A37" s="1" t="s">
        <v>3</v>
      </c>
      <c r="B37" s="12">
        <v>7688</v>
      </c>
      <c r="D37" s="2"/>
      <c r="E37" s="4"/>
      <c r="F37" s="3"/>
      <c r="G37" s="1"/>
    </row>
    <row r="38" spans="1:7" x14ac:dyDescent="0.25">
      <c r="A38" s="1" t="s">
        <v>1</v>
      </c>
      <c r="B38" s="12">
        <v>7688</v>
      </c>
      <c r="D38" s="2"/>
      <c r="E38" s="4"/>
      <c r="F38" s="3"/>
      <c r="G38" s="1"/>
    </row>
    <row r="39" spans="1:7" x14ac:dyDescent="0.25">
      <c r="A39" s="1" t="s">
        <v>4</v>
      </c>
      <c r="B39" s="12">
        <v>7688</v>
      </c>
      <c r="D39" s="2"/>
      <c r="E39" s="4"/>
      <c r="F39" s="3"/>
      <c r="G39" s="1"/>
    </row>
    <row r="40" spans="1:7" x14ac:dyDescent="0.25">
      <c r="A40" s="1" t="s">
        <v>5</v>
      </c>
      <c r="B40" s="12">
        <v>7688</v>
      </c>
      <c r="D40" s="2"/>
      <c r="E40" s="4"/>
      <c r="F40" s="3"/>
      <c r="G40" s="1"/>
    </row>
    <row r="41" spans="1:7" x14ac:dyDescent="0.25">
      <c r="A41" s="1" t="s">
        <v>6</v>
      </c>
      <c r="B41" s="12">
        <v>7688</v>
      </c>
      <c r="D41" s="2"/>
      <c r="E41" s="4"/>
      <c r="F41" s="3"/>
      <c r="G41" s="1"/>
    </row>
    <row r="42" spans="1:7" x14ac:dyDescent="0.25">
      <c r="A42" s="1" t="s">
        <v>7</v>
      </c>
      <c r="B42" s="12">
        <v>11702</v>
      </c>
      <c r="D42" s="3"/>
      <c r="E42" s="4"/>
      <c r="F42" s="3"/>
      <c r="G42" s="1"/>
    </row>
    <row r="43" spans="1:7" x14ac:dyDescent="0.25">
      <c r="A43" s="1" t="s">
        <v>8</v>
      </c>
      <c r="B43" s="12">
        <v>11702</v>
      </c>
      <c r="D43" s="3"/>
      <c r="E43" s="4"/>
      <c r="F43" s="3"/>
      <c r="G43" s="1"/>
    </row>
    <row r="44" spans="1:7" x14ac:dyDescent="0.25">
      <c r="A44" s="1" t="s">
        <v>9</v>
      </c>
      <c r="B44" s="12">
        <v>11702</v>
      </c>
      <c r="D44" s="3"/>
      <c r="E44" s="4"/>
      <c r="F44" s="3"/>
      <c r="G44" s="1"/>
    </row>
    <row r="45" spans="1:7" x14ac:dyDescent="0.25">
      <c r="A45" s="1" t="s">
        <v>10</v>
      </c>
      <c r="B45" s="12">
        <v>12428</v>
      </c>
      <c r="D45" s="3"/>
      <c r="E45" s="4"/>
      <c r="F45" s="3"/>
      <c r="G45" s="1"/>
    </row>
    <row r="46" spans="1:7" x14ac:dyDescent="0.25">
      <c r="A46" s="1" t="s">
        <v>11</v>
      </c>
      <c r="B46" s="12">
        <v>12428</v>
      </c>
      <c r="D46" s="3"/>
      <c r="E46" s="4"/>
      <c r="F46" s="3"/>
      <c r="G46" s="1"/>
    </row>
    <row r="47" spans="1:7" x14ac:dyDescent="0.25">
      <c r="A47" s="1" t="s">
        <v>12</v>
      </c>
      <c r="B47" s="12">
        <v>12428</v>
      </c>
      <c r="D47" s="3"/>
      <c r="E47" s="4"/>
      <c r="F47" s="3"/>
      <c r="G47" s="1"/>
    </row>
    <row r="48" spans="1:7" x14ac:dyDescent="0.25">
      <c r="A48" s="1" t="s">
        <v>13</v>
      </c>
      <c r="B48" s="12">
        <v>14518</v>
      </c>
      <c r="D48" s="3"/>
      <c r="E48" s="4"/>
      <c r="F48" s="3"/>
      <c r="G48" s="1"/>
    </row>
    <row r="49" spans="1:7" x14ac:dyDescent="0.25">
      <c r="A49" s="1" t="s">
        <v>14</v>
      </c>
      <c r="B49" s="12">
        <v>14518</v>
      </c>
      <c r="D49" s="3"/>
      <c r="E49" s="4"/>
      <c r="F49" s="3"/>
      <c r="G49" s="1"/>
    </row>
    <row r="50" spans="1:7" x14ac:dyDescent="0.25">
      <c r="A50" s="1" t="s">
        <v>15</v>
      </c>
      <c r="B50" s="12">
        <v>14518</v>
      </c>
      <c r="D50" s="3"/>
      <c r="E50" s="4"/>
      <c r="F50" s="3"/>
      <c r="G50" s="1"/>
    </row>
    <row r="51" spans="1:7" x14ac:dyDescent="0.25">
      <c r="A51" s="1" t="s">
        <v>16</v>
      </c>
      <c r="B51" s="12">
        <v>15829</v>
      </c>
      <c r="D51" s="2"/>
      <c r="E51" s="5"/>
      <c r="F51" s="3"/>
      <c r="G51" s="1"/>
    </row>
    <row r="52" spans="1:7" x14ac:dyDescent="0.25">
      <c r="A52" s="1" t="s">
        <v>17</v>
      </c>
      <c r="B52" s="12">
        <v>15829</v>
      </c>
      <c r="D52" s="2"/>
      <c r="E52" s="5"/>
      <c r="F52" s="3"/>
      <c r="G52" s="1"/>
    </row>
    <row r="53" spans="1:7" x14ac:dyDescent="0.25">
      <c r="A53" s="1" t="s">
        <v>18</v>
      </c>
      <c r="B53" s="12">
        <v>15829</v>
      </c>
      <c r="D53" s="2"/>
      <c r="E53" s="5"/>
      <c r="F53" s="3"/>
    </row>
    <row r="54" spans="1:7" x14ac:dyDescent="0.25">
      <c r="A54" s="1" t="s">
        <v>19</v>
      </c>
      <c r="B54" s="12">
        <v>15829</v>
      </c>
      <c r="D54" s="2"/>
      <c r="E54" s="5"/>
      <c r="F54" s="3"/>
    </row>
    <row r="55" spans="1:7" x14ac:dyDescent="0.25">
      <c r="A55" s="1" t="s">
        <v>20</v>
      </c>
      <c r="B55" s="12">
        <v>15829</v>
      </c>
      <c r="D55" s="2"/>
      <c r="E55" s="5"/>
      <c r="F55" s="3"/>
    </row>
    <row r="56" spans="1:7" x14ac:dyDescent="0.25">
      <c r="B56" s="11"/>
      <c r="C56" s="11"/>
      <c r="E56" s="5"/>
    </row>
    <row r="58" spans="1:7" x14ac:dyDescent="0.25">
      <c r="A58" s="1" t="s">
        <v>21</v>
      </c>
      <c r="B58" s="11" t="s">
        <v>219</v>
      </c>
    </row>
    <row r="59" spans="1:7" x14ac:dyDescent="0.25">
      <c r="A59" s="1"/>
      <c r="B59" s="80" t="s">
        <v>227</v>
      </c>
      <c r="C59" s="45">
        <v>0.05</v>
      </c>
    </row>
    <row r="60" spans="1:7" x14ac:dyDescent="0.25">
      <c r="A60" t="s">
        <v>0</v>
      </c>
      <c r="B60" s="9" t="s">
        <v>7</v>
      </c>
      <c r="C60" s="9" t="s">
        <v>8</v>
      </c>
    </row>
    <row r="61" spans="1:7" x14ac:dyDescent="0.25">
      <c r="A61" s="1" t="s">
        <v>3</v>
      </c>
      <c r="B61" s="12">
        <v>1</v>
      </c>
      <c r="C61" s="12">
        <v>2</v>
      </c>
      <c r="D61" s="12">
        <v>2000</v>
      </c>
    </row>
    <row r="62" spans="1:7" x14ac:dyDescent="0.25">
      <c r="A62" s="1" t="s">
        <v>1</v>
      </c>
      <c r="B62" s="12">
        <v>1</v>
      </c>
      <c r="C62" s="12">
        <v>2</v>
      </c>
      <c r="D62" s="12">
        <v>2000</v>
      </c>
    </row>
    <row r="63" spans="1:7" x14ac:dyDescent="0.25">
      <c r="A63" s="1" t="s">
        <v>4</v>
      </c>
      <c r="B63" s="12">
        <v>1</v>
      </c>
      <c r="C63" s="12">
        <v>2</v>
      </c>
      <c r="D63" s="12">
        <v>2000</v>
      </c>
    </row>
    <row r="64" spans="1:7" x14ac:dyDescent="0.25">
      <c r="A64" s="1" t="s">
        <v>5</v>
      </c>
      <c r="B64" s="12">
        <v>1</v>
      </c>
      <c r="C64" s="12">
        <v>2</v>
      </c>
      <c r="D64" s="12">
        <v>3000</v>
      </c>
    </row>
    <row r="65" spans="1:4" x14ac:dyDescent="0.25">
      <c r="A65" s="1" t="s">
        <v>6</v>
      </c>
      <c r="B65" s="12">
        <v>1</v>
      </c>
      <c r="C65" s="12">
        <v>2</v>
      </c>
      <c r="D65" s="12">
        <v>3000</v>
      </c>
    </row>
    <row r="66" spans="1:4" x14ac:dyDescent="0.25">
      <c r="A66" s="1" t="s">
        <v>7</v>
      </c>
      <c r="B66" s="12">
        <v>1</v>
      </c>
      <c r="C66" s="12">
        <v>2</v>
      </c>
      <c r="D66" s="12">
        <v>3000</v>
      </c>
    </row>
    <row r="67" spans="1:4" x14ac:dyDescent="0.25">
      <c r="A67" s="1" t="s">
        <v>8</v>
      </c>
      <c r="B67" s="12">
        <v>1</v>
      </c>
      <c r="C67" s="12">
        <v>2</v>
      </c>
      <c r="D67" s="12">
        <v>3000</v>
      </c>
    </row>
    <row r="68" spans="1:4" x14ac:dyDescent="0.25">
      <c r="A68" s="1" t="s">
        <v>9</v>
      </c>
      <c r="B68" s="12">
        <v>1</v>
      </c>
      <c r="C68" s="12">
        <v>2</v>
      </c>
      <c r="D68" s="12">
        <v>3000</v>
      </c>
    </row>
    <row r="69" spans="1:4" x14ac:dyDescent="0.25">
      <c r="A69" s="1" t="s">
        <v>10</v>
      </c>
      <c r="B69" s="12">
        <v>1</v>
      </c>
      <c r="C69" s="12">
        <v>2</v>
      </c>
      <c r="D69" s="12">
        <v>3000</v>
      </c>
    </row>
    <row r="70" spans="1:4" x14ac:dyDescent="0.25">
      <c r="A70" s="1" t="s">
        <v>11</v>
      </c>
      <c r="B70" s="12">
        <v>1</v>
      </c>
      <c r="C70" s="12">
        <v>2</v>
      </c>
      <c r="D70" s="12">
        <v>3000</v>
      </c>
    </row>
    <row r="71" spans="1:4" x14ac:dyDescent="0.25">
      <c r="A71" s="1" t="s">
        <v>12</v>
      </c>
      <c r="B71" s="12">
        <v>2</v>
      </c>
      <c r="C71" s="12">
        <v>3</v>
      </c>
      <c r="D71" s="12">
        <v>3000</v>
      </c>
    </row>
    <row r="72" spans="1:4" x14ac:dyDescent="0.25">
      <c r="A72" s="1" t="s">
        <v>13</v>
      </c>
      <c r="B72" s="12">
        <v>2</v>
      </c>
      <c r="C72" s="12">
        <v>3</v>
      </c>
      <c r="D72" s="12">
        <v>3000</v>
      </c>
    </row>
    <row r="73" spans="1:4" x14ac:dyDescent="0.25">
      <c r="A73" s="1" t="s">
        <v>14</v>
      </c>
      <c r="B73" s="12">
        <v>2</v>
      </c>
      <c r="C73" s="12">
        <v>3</v>
      </c>
      <c r="D73" s="12">
        <v>3000</v>
      </c>
    </row>
    <row r="74" spans="1:4" x14ac:dyDescent="0.25">
      <c r="A74" s="1" t="s">
        <v>15</v>
      </c>
      <c r="B74" s="12">
        <v>2</v>
      </c>
      <c r="C74" s="12">
        <v>3</v>
      </c>
      <c r="D74" s="12">
        <v>3000</v>
      </c>
    </row>
    <row r="75" spans="1:4" x14ac:dyDescent="0.25">
      <c r="A75" s="1" t="s">
        <v>16</v>
      </c>
      <c r="B75" s="12">
        <v>2</v>
      </c>
      <c r="C75" s="12">
        <v>3</v>
      </c>
      <c r="D75" s="12">
        <v>3500</v>
      </c>
    </row>
    <row r="76" spans="1:4" x14ac:dyDescent="0.25">
      <c r="A76" s="1" t="s">
        <v>17</v>
      </c>
      <c r="B76" s="12">
        <v>2</v>
      </c>
      <c r="C76" s="12">
        <v>3</v>
      </c>
      <c r="D76" s="12">
        <v>3500</v>
      </c>
    </row>
    <row r="77" spans="1:4" x14ac:dyDescent="0.25">
      <c r="A77" s="1" t="s">
        <v>18</v>
      </c>
      <c r="B77" s="12">
        <v>2</v>
      </c>
      <c r="C77" s="12">
        <v>4</v>
      </c>
      <c r="D77" s="12">
        <v>3500</v>
      </c>
    </row>
    <row r="78" spans="1:4" x14ac:dyDescent="0.25">
      <c r="A78" s="1" t="s">
        <v>19</v>
      </c>
      <c r="B78" s="12">
        <v>2</v>
      </c>
      <c r="C78" s="12">
        <v>4</v>
      </c>
      <c r="D78" s="12">
        <v>3500</v>
      </c>
    </row>
    <row r="79" spans="1:4" x14ac:dyDescent="0.25">
      <c r="A79" s="1" t="s">
        <v>20</v>
      </c>
      <c r="B79" s="12">
        <v>2</v>
      </c>
      <c r="C79" s="12">
        <v>4</v>
      </c>
      <c r="D79" s="12">
        <v>3500</v>
      </c>
    </row>
    <row r="80" spans="1:4" x14ac:dyDescent="0.25">
      <c r="A80" s="1" t="s">
        <v>23</v>
      </c>
      <c r="B80" s="12">
        <v>1</v>
      </c>
      <c r="C80" s="12">
        <v>2</v>
      </c>
      <c r="D80" s="12">
        <v>2000</v>
      </c>
    </row>
    <row r="81" spans="1:4" x14ac:dyDescent="0.25">
      <c r="A81" s="1" t="s">
        <v>24</v>
      </c>
      <c r="B81" s="12">
        <v>1</v>
      </c>
      <c r="C81" s="12">
        <v>2</v>
      </c>
      <c r="D81" s="12">
        <v>2000</v>
      </c>
    </row>
    <row r="82" spans="1:4" x14ac:dyDescent="0.25">
      <c r="A82" s="1" t="s">
        <v>22</v>
      </c>
      <c r="B82" s="12">
        <v>1</v>
      </c>
      <c r="C82" s="12">
        <v>2</v>
      </c>
      <c r="D82" s="12">
        <v>3000</v>
      </c>
    </row>
    <row r="83" spans="1:4" x14ac:dyDescent="0.25">
      <c r="A83" s="1" t="s">
        <v>25</v>
      </c>
      <c r="B83" s="12">
        <v>1</v>
      </c>
      <c r="C83" s="12">
        <v>1</v>
      </c>
      <c r="D83" s="12">
        <v>3000</v>
      </c>
    </row>
    <row r="84" spans="1:4" x14ac:dyDescent="0.25">
      <c r="A84" s="1" t="s">
        <v>26</v>
      </c>
      <c r="B84" s="12">
        <v>2</v>
      </c>
      <c r="C84" s="12">
        <v>3</v>
      </c>
      <c r="D84" s="12">
        <v>1300</v>
      </c>
    </row>
    <row r="85" spans="1:4" x14ac:dyDescent="0.25">
      <c r="A85" s="1" t="s">
        <v>27</v>
      </c>
      <c r="B85" s="12">
        <v>1</v>
      </c>
      <c r="C85" s="12">
        <v>1</v>
      </c>
      <c r="D85" s="12">
        <v>1000</v>
      </c>
    </row>
    <row r="86" spans="1:4" x14ac:dyDescent="0.25">
      <c r="A86" s="1" t="s">
        <v>28</v>
      </c>
      <c r="B86" s="12">
        <v>2</v>
      </c>
      <c r="C86" s="12">
        <v>4</v>
      </c>
      <c r="D86" s="12">
        <v>1300</v>
      </c>
    </row>
    <row r="87" spans="1:4" x14ac:dyDescent="0.25">
      <c r="A87" s="1" t="s">
        <v>29</v>
      </c>
      <c r="B87" s="12">
        <v>1</v>
      </c>
      <c r="C87" s="12">
        <v>1</v>
      </c>
      <c r="D87" s="12">
        <v>1500</v>
      </c>
    </row>
    <row r="88" spans="1:4" x14ac:dyDescent="0.25">
      <c r="A88" s="1" t="s">
        <v>30</v>
      </c>
      <c r="B88" s="12">
        <v>2</v>
      </c>
      <c r="C88" s="12">
        <v>2</v>
      </c>
      <c r="D88" s="12">
        <v>2000</v>
      </c>
    </row>
    <row r="89" spans="1:4" x14ac:dyDescent="0.25">
      <c r="A89" s="1" t="s">
        <v>36</v>
      </c>
      <c r="B89" s="12">
        <v>6</v>
      </c>
      <c r="C89" s="12">
        <v>10</v>
      </c>
      <c r="D89" s="12">
        <v>1200</v>
      </c>
    </row>
    <row r="90" spans="1:4" x14ac:dyDescent="0.25">
      <c r="A90" s="1" t="s">
        <v>35</v>
      </c>
      <c r="B90" s="12">
        <v>1</v>
      </c>
      <c r="C90" s="12">
        <v>1</v>
      </c>
      <c r="D90" s="12">
        <v>1200</v>
      </c>
    </row>
    <row r="91" spans="1:4" x14ac:dyDescent="0.25">
      <c r="A91" s="1" t="s">
        <v>37</v>
      </c>
      <c r="B91" s="12">
        <v>1</v>
      </c>
      <c r="C91" s="12">
        <v>1</v>
      </c>
      <c r="D91" s="12">
        <v>1200</v>
      </c>
    </row>
    <row r="92" spans="1:4" x14ac:dyDescent="0.25">
      <c r="A92" t="s">
        <v>31</v>
      </c>
      <c r="B92" s="12">
        <v>1</v>
      </c>
      <c r="C92" s="12">
        <v>1</v>
      </c>
      <c r="D92" s="12">
        <v>5000</v>
      </c>
    </row>
    <row r="93" spans="1:4" x14ac:dyDescent="0.25">
      <c r="A93" t="s">
        <v>32</v>
      </c>
      <c r="B93" s="12">
        <v>2</v>
      </c>
      <c r="C93" s="12">
        <v>2</v>
      </c>
      <c r="D93" s="12">
        <v>1445</v>
      </c>
    </row>
    <row r="94" spans="1:4" x14ac:dyDescent="0.25">
      <c r="A94" t="s">
        <v>33</v>
      </c>
      <c r="B94" s="12">
        <v>1</v>
      </c>
      <c r="C94" s="12">
        <v>1</v>
      </c>
      <c r="D94" s="12">
        <v>8000</v>
      </c>
    </row>
    <row r="95" spans="1:4" x14ac:dyDescent="0.25">
      <c r="A95" t="s">
        <v>34</v>
      </c>
      <c r="B95" s="12">
        <v>1</v>
      </c>
      <c r="C95" s="12">
        <v>1</v>
      </c>
      <c r="D95" s="12">
        <v>5000</v>
      </c>
    </row>
    <row r="96" spans="1:4" x14ac:dyDescent="0.25">
      <c r="D96" s="6"/>
    </row>
    <row r="97" spans="1:3" s="8" customFormat="1" ht="31.5" x14ac:dyDescent="0.5">
      <c r="A97" s="8" t="s">
        <v>49</v>
      </c>
      <c r="B97" s="13">
        <v>0.05</v>
      </c>
      <c r="C97" s="13"/>
    </row>
    <row r="98" spans="1:3" s="82" customFormat="1" ht="18.75" customHeight="1" x14ac:dyDescent="0.5">
      <c r="A98" s="1" t="s">
        <v>229</v>
      </c>
      <c r="B98" s="84">
        <v>0.05</v>
      </c>
      <c r="C98" s="83"/>
    </row>
    <row r="99" spans="1:3" s="82" customFormat="1" ht="22.5" customHeight="1" x14ac:dyDescent="0.5">
      <c r="C99" s="83"/>
    </row>
    <row r="100" spans="1:3" x14ac:dyDescent="0.25">
      <c r="A100" t="s">
        <v>116</v>
      </c>
    </row>
    <row r="101" spans="1:3" x14ac:dyDescent="0.25">
      <c r="A101" s="1" t="s">
        <v>3</v>
      </c>
      <c r="B101" s="12">
        <v>1050</v>
      </c>
    </row>
    <row r="102" spans="1:3" x14ac:dyDescent="0.25">
      <c r="A102" s="1" t="s">
        <v>1</v>
      </c>
      <c r="B102" s="12">
        <v>1050</v>
      </c>
    </row>
    <row r="103" spans="1:3" x14ac:dyDescent="0.25">
      <c r="A103" s="1" t="s">
        <v>4</v>
      </c>
      <c r="B103" s="12">
        <v>1050</v>
      </c>
    </row>
    <row r="104" spans="1:3" x14ac:dyDescent="0.25">
      <c r="A104" s="1" t="s">
        <v>5</v>
      </c>
      <c r="B104" s="12">
        <v>1050</v>
      </c>
    </row>
    <row r="105" spans="1:3" x14ac:dyDescent="0.25">
      <c r="A105" s="1" t="s">
        <v>6</v>
      </c>
      <c r="B105" s="12">
        <v>1050</v>
      </c>
    </row>
    <row r="106" spans="1:3" x14ac:dyDescent="0.25">
      <c r="A106" s="1" t="s">
        <v>7</v>
      </c>
      <c r="B106" s="12">
        <v>1050</v>
      </c>
    </row>
    <row r="107" spans="1:3" x14ac:dyDescent="0.25">
      <c r="A107" s="1" t="s">
        <v>8</v>
      </c>
      <c r="B107" s="12">
        <v>1050</v>
      </c>
    </row>
    <row r="108" spans="1:3" x14ac:dyDescent="0.25">
      <c r="A108" s="1" t="s">
        <v>9</v>
      </c>
      <c r="B108" s="12">
        <v>1050</v>
      </c>
    </row>
    <row r="109" spans="1:3" x14ac:dyDescent="0.25">
      <c r="A109" s="1" t="s">
        <v>10</v>
      </c>
      <c r="B109" s="12">
        <v>1050</v>
      </c>
    </row>
    <row r="110" spans="1:3" x14ac:dyDescent="0.25">
      <c r="A110" s="1" t="s">
        <v>11</v>
      </c>
      <c r="B110" s="12">
        <v>1050</v>
      </c>
    </row>
    <row r="111" spans="1:3" x14ac:dyDescent="0.25">
      <c r="A111" s="1" t="s">
        <v>12</v>
      </c>
      <c r="B111" s="12">
        <v>1050</v>
      </c>
    </row>
    <row r="112" spans="1:3" x14ac:dyDescent="0.25">
      <c r="A112" s="1" t="s">
        <v>13</v>
      </c>
      <c r="B112" s="12">
        <v>1050</v>
      </c>
    </row>
    <row r="113" spans="1:2" x14ac:dyDescent="0.25">
      <c r="A113" s="1" t="s">
        <v>14</v>
      </c>
      <c r="B113" s="12">
        <v>1050</v>
      </c>
    </row>
    <row r="114" spans="1:2" x14ac:dyDescent="0.25">
      <c r="A114" s="1" t="s">
        <v>15</v>
      </c>
      <c r="B114" s="12">
        <v>1050</v>
      </c>
    </row>
    <row r="115" spans="1:2" x14ac:dyDescent="0.25">
      <c r="A115" s="1" t="s">
        <v>16</v>
      </c>
      <c r="B115" s="12">
        <v>1050</v>
      </c>
    </row>
    <row r="116" spans="1:2" x14ac:dyDescent="0.25">
      <c r="A116" s="1" t="s">
        <v>17</v>
      </c>
      <c r="B116" s="12">
        <v>1050</v>
      </c>
    </row>
    <row r="117" spans="1:2" x14ac:dyDescent="0.25">
      <c r="A117" s="1" t="s">
        <v>18</v>
      </c>
      <c r="B117" s="12">
        <v>1050</v>
      </c>
    </row>
    <row r="118" spans="1:2" x14ac:dyDescent="0.25">
      <c r="A118" s="1" t="s">
        <v>19</v>
      </c>
      <c r="B118" s="12">
        <v>1050</v>
      </c>
    </row>
    <row r="119" spans="1:2" x14ac:dyDescent="0.25">
      <c r="A119" s="1" t="s">
        <v>20</v>
      </c>
      <c r="B119" s="12">
        <v>1050</v>
      </c>
    </row>
    <row r="124" spans="1:2" x14ac:dyDescent="0.25">
      <c r="A124" t="s">
        <v>42</v>
      </c>
    </row>
    <row r="125" spans="1:2" x14ac:dyDescent="0.25">
      <c r="A125" s="1" t="s">
        <v>3</v>
      </c>
      <c r="B125" s="12">
        <v>140</v>
      </c>
    </row>
    <row r="126" spans="1:2" x14ac:dyDescent="0.25">
      <c r="A126" s="1" t="s">
        <v>1</v>
      </c>
      <c r="B126" s="12">
        <v>140</v>
      </c>
    </row>
    <row r="127" spans="1:2" x14ac:dyDescent="0.25">
      <c r="A127" s="1" t="s">
        <v>4</v>
      </c>
      <c r="B127" s="12">
        <v>140</v>
      </c>
    </row>
    <row r="128" spans="1:2" x14ac:dyDescent="0.25">
      <c r="A128" s="1" t="s">
        <v>5</v>
      </c>
      <c r="B128" s="12">
        <v>140</v>
      </c>
    </row>
    <row r="129" spans="1:2" x14ac:dyDescent="0.25">
      <c r="A129" s="1" t="s">
        <v>6</v>
      </c>
      <c r="B129" s="12">
        <v>140</v>
      </c>
    </row>
    <row r="130" spans="1:2" x14ac:dyDescent="0.25">
      <c r="A130" s="1" t="s">
        <v>7</v>
      </c>
      <c r="B130" s="12">
        <v>140</v>
      </c>
    </row>
    <row r="131" spans="1:2" x14ac:dyDescent="0.25">
      <c r="A131" s="1" t="s">
        <v>8</v>
      </c>
      <c r="B131" s="12">
        <v>210</v>
      </c>
    </row>
    <row r="132" spans="1:2" x14ac:dyDescent="0.25">
      <c r="A132" s="1" t="s">
        <v>9</v>
      </c>
      <c r="B132" s="12">
        <v>570</v>
      </c>
    </row>
    <row r="133" spans="1:2" x14ac:dyDescent="0.25">
      <c r="A133" s="1" t="s">
        <v>10</v>
      </c>
      <c r="B133" s="12">
        <v>570</v>
      </c>
    </row>
    <row r="134" spans="1:2" x14ac:dyDescent="0.25">
      <c r="A134" s="1" t="s">
        <v>11</v>
      </c>
      <c r="B134" s="12">
        <v>570</v>
      </c>
    </row>
    <row r="135" spans="1:2" x14ac:dyDescent="0.25">
      <c r="A135" s="1" t="s">
        <v>12</v>
      </c>
      <c r="B135" s="12">
        <v>570</v>
      </c>
    </row>
    <row r="136" spans="1:2" x14ac:dyDescent="0.25">
      <c r="A136" s="1" t="s">
        <v>13</v>
      </c>
      <c r="B136" s="12">
        <v>756</v>
      </c>
    </row>
    <row r="137" spans="1:2" x14ac:dyDescent="0.25">
      <c r="A137" s="1" t="s">
        <v>14</v>
      </c>
      <c r="B137" s="12">
        <v>756</v>
      </c>
    </row>
    <row r="138" spans="1:2" x14ac:dyDescent="0.25">
      <c r="A138" s="1" t="s">
        <v>15</v>
      </c>
      <c r="B138" s="12">
        <v>756</v>
      </c>
    </row>
    <row r="139" spans="1:2" x14ac:dyDescent="0.25">
      <c r="A139" s="1" t="s">
        <v>16</v>
      </c>
      <c r="B139" s="12">
        <v>756</v>
      </c>
    </row>
    <row r="140" spans="1:2" x14ac:dyDescent="0.25">
      <c r="A140" s="1" t="s">
        <v>17</v>
      </c>
      <c r="B140" s="12">
        <v>756</v>
      </c>
    </row>
    <row r="141" spans="1:2" x14ac:dyDescent="0.25">
      <c r="A141" s="1" t="s">
        <v>18</v>
      </c>
      <c r="B141" s="12">
        <v>756</v>
      </c>
    </row>
    <row r="142" spans="1:2" x14ac:dyDescent="0.25">
      <c r="A142" s="1" t="s">
        <v>19</v>
      </c>
      <c r="B142" s="12">
        <v>756</v>
      </c>
    </row>
    <row r="143" spans="1:2" x14ac:dyDescent="0.25">
      <c r="A143" s="1" t="s">
        <v>20</v>
      </c>
      <c r="B143" s="12">
        <v>756</v>
      </c>
    </row>
    <row r="144" spans="1:2" x14ac:dyDescent="0.25">
      <c r="A144" s="1"/>
      <c r="B144"/>
    </row>
    <row r="145" spans="1:2" x14ac:dyDescent="0.25">
      <c r="A145" t="s">
        <v>43</v>
      </c>
    </row>
    <row r="146" spans="1:2" x14ac:dyDescent="0.25">
      <c r="A146" s="1" t="s">
        <v>3</v>
      </c>
      <c r="B146" s="12">
        <v>15</v>
      </c>
    </row>
    <row r="147" spans="1:2" x14ac:dyDescent="0.25">
      <c r="A147" s="1" t="s">
        <v>1</v>
      </c>
      <c r="B147" s="12">
        <v>15</v>
      </c>
    </row>
    <row r="148" spans="1:2" x14ac:dyDescent="0.25">
      <c r="A148" s="1" t="s">
        <v>4</v>
      </c>
      <c r="B148" s="12">
        <v>15</v>
      </c>
    </row>
    <row r="149" spans="1:2" x14ac:dyDescent="0.25">
      <c r="A149" s="1" t="s">
        <v>5</v>
      </c>
      <c r="B149" s="12">
        <v>15</v>
      </c>
    </row>
    <row r="150" spans="1:2" x14ac:dyDescent="0.25">
      <c r="A150" s="1" t="s">
        <v>6</v>
      </c>
      <c r="B150" s="12">
        <v>15</v>
      </c>
    </row>
    <row r="151" spans="1:2" x14ac:dyDescent="0.25">
      <c r="A151" s="1" t="s">
        <v>7</v>
      </c>
      <c r="B151" s="12">
        <v>15</v>
      </c>
    </row>
    <row r="152" spans="1:2" x14ac:dyDescent="0.25">
      <c r="A152" s="1" t="s">
        <v>8</v>
      </c>
      <c r="B152" s="12">
        <v>15</v>
      </c>
    </row>
    <row r="153" spans="1:2" x14ac:dyDescent="0.25">
      <c r="A153" s="1" t="s">
        <v>9</v>
      </c>
      <c r="B153" s="12">
        <v>15</v>
      </c>
    </row>
    <row r="154" spans="1:2" x14ac:dyDescent="0.25">
      <c r="A154" s="1" t="s">
        <v>10</v>
      </c>
      <c r="B154" s="12">
        <v>15</v>
      </c>
    </row>
    <row r="155" spans="1:2" x14ac:dyDescent="0.25">
      <c r="A155" s="1" t="s">
        <v>11</v>
      </c>
      <c r="B155" s="12">
        <v>15</v>
      </c>
    </row>
    <row r="156" spans="1:2" x14ac:dyDescent="0.25">
      <c r="A156" s="1" t="s">
        <v>12</v>
      </c>
      <c r="B156" s="12">
        <v>15</v>
      </c>
    </row>
    <row r="157" spans="1:2" x14ac:dyDescent="0.25">
      <c r="A157" s="1" t="s">
        <v>13</v>
      </c>
      <c r="B157" s="12">
        <v>15</v>
      </c>
    </row>
    <row r="158" spans="1:2" x14ac:dyDescent="0.25">
      <c r="A158" s="1" t="s">
        <v>14</v>
      </c>
      <c r="B158" s="12">
        <v>15</v>
      </c>
    </row>
    <row r="159" spans="1:2" x14ac:dyDescent="0.25">
      <c r="A159" s="1" t="s">
        <v>15</v>
      </c>
      <c r="B159" s="12">
        <v>15</v>
      </c>
    </row>
    <row r="160" spans="1:2" x14ac:dyDescent="0.25">
      <c r="A160" s="1" t="s">
        <v>16</v>
      </c>
      <c r="B160" s="12">
        <v>15</v>
      </c>
    </row>
    <row r="161" spans="1:3" x14ac:dyDescent="0.25">
      <c r="A161" s="1" t="s">
        <v>17</v>
      </c>
      <c r="B161" s="12">
        <v>15</v>
      </c>
    </row>
    <row r="162" spans="1:3" x14ac:dyDescent="0.25">
      <c r="A162" s="1" t="s">
        <v>18</v>
      </c>
      <c r="B162" s="12">
        <v>15</v>
      </c>
    </row>
    <row r="163" spans="1:3" x14ac:dyDescent="0.25">
      <c r="A163" s="1" t="s">
        <v>19</v>
      </c>
      <c r="B163" s="12">
        <v>15</v>
      </c>
    </row>
    <row r="164" spans="1:3" x14ac:dyDescent="0.25">
      <c r="A164" s="1" t="s">
        <v>20</v>
      </c>
      <c r="B164" s="12">
        <v>15</v>
      </c>
    </row>
    <row r="165" spans="1:3" x14ac:dyDescent="0.25">
      <c r="B165"/>
      <c r="C165"/>
    </row>
    <row r="166" spans="1:3" x14ac:dyDescent="0.25">
      <c r="A166" t="s">
        <v>230</v>
      </c>
    </row>
    <row r="167" spans="1:3" x14ac:dyDescent="0.25">
      <c r="A167" s="1" t="s">
        <v>3</v>
      </c>
      <c r="B167" s="12">
        <v>43</v>
      </c>
    </row>
    <row r="168" spans="1:3" x14ac:dyDescent="0.25">
      <c r="A168" s="1" t="s">
        <v>1</v>
      </c>
      <c r="B168" s="12">
        <v>43</v>
      </c>
    </row>
    <row r="169" spans="1:3" x14ac:dyDescent="0.25">
      <c r="A169" s="1" t="s">
        <v>4</v>
      </c>
      <c r="B169" s="12">
        <v>43</v>
      </c>
    </row>
    <row r="170" spans="1:3" x14ac:dyDescent="0.25">
      <c r="A170" s="1" t="s">
        <v>5</v>
      </c>
      <c r="B170" s="12">
        <v>43</v>
      </c>
    </row>
    <row r="171" spans="1:3" x14ac:dyDescent="0.25">
      <c r="A171" s="1" t="s">
        <v>6</v>
      </c>
      <c r="B171" s="12">
        <v>43</v>
      </c>
    </row>
    <row r="172" spans="1:3" x14ac:dyDescent="0.25">
      <c r="A172" s="1" t="s">
        <v>7</v>
      </c>
      <c r="B172" s="12">
        <v>43</v>
      </c>
    </row>
    <row r="173" spans="1:3" x14ac:dyDescent="0.25">
      <c r="A173" s="1" t="s">
        <v>8</v>
      </c>
      <c r="B173" s="12">
        <v>43</v>
      </c>
    </row>
    <row r="174" spans="1:3" x14ac:dyDescent="0.25">
      <c r="A174" s="1" t="s">
        <v>9</v>
      </c>
      <c r="B174" s="12">
        <v>43</v>
      </c>
    </row>
    <row r="175" spans="1:3" x14ac:dyDescent="0.25">
      <c r="A175" s="1" t="s">
        <v>10</v>
      </c>
      <c r="B175" s="12">
        <v>43</v>
      </c>
    </row>
    <row r="176" spans="1:3" x14ac:dyDescent="0.25">
      <c r="A176" s="1" t="s">
        <v>11</v>
      </c>
      <c r="B176" s="12">
        <v>43</v>
      </c>
    </row>
    <row r="177" spans="1:3" x14ac:dyDescent="0.25">
      <c r="A177" s="1" t="s">
        <v>12</v>
      </c>
      <c r="B177" s="12">
        <v>43</v>
      </c>
    </row>
    <row r="178" spans="1:3" x14ac:dyDescent="0.25">
      <c r="A178" s="1" t="s">
        <v>13</v>
      </c>
      <c r="B178" s="12">
        <v>43</v>
      </c>
    </row>
    <row r="179" spans="1:3" x14ac:dyDescent="0.25">
      <c r="A179" s="1" t="s">
        <v>14</v>
      </c>
      <c r="B179" s="12">
        <v>43</v>
      </c>
    </row>
    <row r="180" spans="1:3" x14ac:dyDescent="0.25">
      <c r="A180" s="1" t="s">
        <v>15</v>
      </c>
      <c r="B180" s="12">
        <v>43</v>
      </c>
    </row>
    <row r="181" spans="1:3" x14ac:dyDescent="0.25">
      <c r="A181" s="1" t="s">
        <v>16</v>
      </c>
      <c r="B181" s="12">
        <v>43</v>
      </c>
    </row>
    <row r="182" spans="1:3" x14ac:dyDescent="0.25">
      <c r="A182" s="1" t="s">
        <v>17</v>
      </c>
      <c r="B182" s="12">
        <v>43</v>
      </c>
    </row>
    <row r="183" spans="1:3" x14ac:dyDescent="0.25">
      <c r="A183" s="1" t="s">
        <v>18</v>
      </c>
      <c r="B183" s="12">
        <v>43</v>
      </c>
    </row>
    <row r="184" spans="1:3" x14ac:dyDescent="0.25">
      <c r="A184" s="1" t="s">
        <v>19</v>
      </c>
      <c r="B184" s="12">
        <v>43</v>
      </c>
    </row>
    <row r="185" spans="1:3" x14ac:dyDescent="0.25">
      <c r="A185" s="1" t="s">
        <v>20</v>
      </c>
      <c r="B185" s="12">
        <v>43</v>
      </c>
    </row>
    <row r="186" spans="1:3" x14ac:dyDescent="0.25">
      <c r="B186"/>
      <c r="C186"/>
    </row>
    <row r="187" spans="1:3" x14ac:dyDescent="0.25">
      <c r="B187"/>
      <c r="C187"/>
    </row>
    <row r="188" spans="1:3" x14ac:dyDescent="0.25">
      <c r="A188" s="7" t="s">
        <v>45</v>
      </c>
    </row>
    <row r="189" spans="1:3" x14ac:dyDescent="0.25">
      <c r="A189" s="1" t="s">
        <v>3</v>
      </c>
      <c r="B189" s="12">
        <v>50</v>
      </c>
    </row>
    <row r="190" spans="1:3" x14ac:dyDescent="0.25">
      <c r="A190" s="1" t="s">
        <v>1</v>
      </c>
      <c r="B190" s="12">
        <v>50</v>
      </c>
    </row>
    <row r="191" spans="1:3" x14ac:dyDescent="0.25">
      <c r="A191" s="1" t="s">
        <v>4</v>
      </c>
      <c r="B191" s="12">
        <v>50</v>
      </c>
    </row>
    <row r="192" spans="1:3" x14ac:dyDescent="0.25">
      <c r="A192" s="1" t="s">
        <v>5</v>
      </c>
      <c r="B192" s="12">
        <v>50</v>
      </c>
    </row>
    <row r="193" spans="1:3" x14ac:dyDescent="0.25">
      <c r="A193" s="1" t="s">
        <v>6</v>
      </c>
      <c r="B193" s="12">
        <v>50</v>
      </c>
    </row>
    <row r="194" spans="1:3" x14ac:dyDescent="0.25">
      <c r="A194" s="1" t="s">
        <v>7</v>
      </c>
      <c r="B194" s="12">
        <v>50</v>
      </c>
    </row>
    <row r="195" spans="1:3" x14ac:dyDescent="0.25">
      <c r="A195" s="1" t="s">
        <v>8</v>
      </c>
      <c r="B195" s="12">
        <v>50</v>
      </c>
    </row>
    <row r="196" spans="1:3" x14ac:dyDescent="0.25">
      <c r="A196" s="1" t="s">
        <v>9</v>
      </c>
      <c r="B196" s="12">
        <v>50</v>
      </c>
    </row>
    <row r="197" spans="1:3" x14ac:dyDescent="0.25">
      <c r="A197" s="1" t="s">
        <v>10</v>
      </c>
      <c r="B197" s="12">
        <v>50</v>
      </c>
    </row>
    <row r="198" spans="1:3" x14ac:dyDescent="0.25">
      <c r="A198" s="1" t="s">
        <v>11</v>
      </c>
      <c r="B198" s="12">
        <v>50</v>
      </c>
    </row>
    <row r="199" spans="1:3" x14ac:dyDescent="0.25">
      <c r="A199" s="1" t="s">
        <v>12</v>
      </c>
      <c r="B199" s="12">
        <v>50</v>
      </c>
    </row>
    <row r="200" spans="1:3" x14ac:dyDescent="0.25">
      <c r="A200" s="1" t="s">
        <v>13</v>
      </c>
      <c r="B200" s="12">
        <v>50</v>
      </c>
    </row>
    <row r="201" spans="1:3" x14ac:dyDescent="0.25">
      <c r="A201" s="1" t="s">
        <v>14</v>
      </c>
      <c r="B201" s="12">
        <v>50</v>
      </c>
    </row>
    <row r="202" spans="1:3" x14ac:dyDescent="0.25">
      <c r="A202" s="1" t="s">
        <v>15</v>
      </c>
      <c r="B202" s="12">
        <v>50</v>
      </c>
    </row>
    <row r="203" spans="1:3" x14ac:dyDescent="0.25">
      <c r="A203" s="1" t="s">
        <v>16</v>
      </c>
      <c r="B203" s="12">
        <v>50</v>
      </c>
    </row>
    <row r="204" spans="1:3" x14ac:dyDescent="0.25">
      <c r="A204" s="1" t="s">
        <v>17</v>
      </c>
      <c r="B204" s="12">
        <v>50</v>
      </c>
    </row>
    <row r="205" spans="1:3" x14ac:dyDescent="0.25">
      <c r="A205" s="1" t="s">
        <v>18</v>
      </c>
      <c r="B205" s="12">
        <v>50</v>
      </c>
    </row>
    <row r="206" spans="1:3" x14ac:dyDescent="0.25">
      <c r="A206" s="1" t="s">
        <v>19</v>
      </c>
      <c r="B206" s="12">
        <v>50</v>
      </c>
    </row>
    <row r="207" spans="1:3" x14ac:dyDescent="0.25">
      <c r="A207" s="1" t="s">
        <v>20</v>
      </c>
      <c r="B207" s="12">
        <v>50</v>
      </c>
    </row>
    <row r="208" spans="1:3" x14ac:dyDescent="0.25">
      <c r="B208"/>
      <c r="C208"/>
    </row>
    <row r="209" spans="1:2" x14ac:dyDescent="0.25">
      <c r="A209" t="s">
        <v>44</v>
      </c>
    </row>
    <row r="210" spans="1:2" x14ac:dyDescent="0.25">
      <c r="A210" s="1" t="s">
        <v>3</v>
      </c>
      <c r="B210" s="12">
        <v>43</v>
      </c>
    </row>
    <row r="211" spans="1:2" x14ac:dyDescent="0.25">
      <c r="A211" s="1" t="s">
        <v>1</v>
      </c>
      <c r="B211" s="12">
        <v>43</v>
      </c>
    </row>
    <row r="212" spans="1:2" x14ac:dyDescent="0.25">
      <c r="A212" s="1" t="s">
        <v>4</v>
      </c>
      <c r="B212" s="12">
        <v>43</v>
      </c>
    </row>
    <row r="213" spans="1:2" x14ac:dyDescent="0.25">
      <c r="A213" s="1" t="s">
        <v>5</v>
      </c>
      <c r="B213" s="12">
        <v>43</v>
      </c>
    </row>
    <row r="214" spans="1:2" x14ac:dyDescent="0.25">
      <c r="A214" s="1" t="s">
        <v>6</v>
      </c>
      <c r="B214" s="12">
        <v>43</v>
      </c>
    </row>
    <row r="215" spans="1:2" x14ac:dyDescent="0.25">
      <c r="A215" s="1" t="s">
        <v>7</v>
      </c>
      <c r="B215" s="12">
        <v>43</v>
      </c>
    </row>
    <row r="216" spans="1:2" x14ac:dyDescent="0.25">
      <c r="A216" s="1" t="s">
        <v>8</v>
      </c>
      <c r="B216" s="12">
        <v>43</v>
      </c>
    </row>
    <row r="217" spans="1:2" x14ac:dyDescent="0.25">
      <c r="A217" s="1" t="s">
        <v>9</v>
      </c>
      <c r="B217" s="12">
        <v>43</v>
      </c>
    </row>
    <row r="218" spans="1:2" x14ac:dyDescent="0.25">
      <c r="A218" s="1" t="s">
        <v>10</v>
      </c>
      <c r="B218" s="12">
        <v>43</v>
      </c>
    </row>
    <row r="219" spans="1:2" x14ac:dyDescent="0.25">
      <c r="A219" s="1" t="s">
        <v>11</v>
      </c>
      <c r="B219" s="12">
        <v>43</v>
      </c>
    </row>
    <row r="220" spans="1:2" x14ac:dyDescent="0.25">
      <c r="A220" s="1" t="s">
        <v>12</v>
      </c>
      <c r="B220" s="12">
        <v>43</v>
      </c>
    </row>
    <row r="221" spans="1:2" x14ac:dyDescent="0.25">
      <c r="A221" s="1" t="s">
        <v>13</v>
      </c>
      <c r="B221" s="12">
        <v>43</v>
      </c>
    </row>
    <row r="222" spans="1:2" x14ac:dyDescent="0.25">
      <c r="A222" s="1" t="s">
        <v>14</v>
      </c>
      <c r="B222" s="12">
        <v>43</v>
      </c>
    </row>
    <row r="223" spans="1:2" x14ac:dyDescent="0.25">
      <c r="A223" s="1" t="s">
        <v>15</v>
      </c>
      <c r="B223" s="12">
        <v>43</v>
      </c>
    </row>
    <row r="224" spans="1:2" x14ac:dyDescent="0.25">
      <c r="A224" s="1" t="s">
        <v>16</v>
      </c>
      <c r="B224" s="12">
        <v>43</v>
      </c>
    </row>
    <row r="225" spans="1:3" x14ac:dyDescent="0.25">
      <c r="A225" s="1" t="s">
        <v>17</v>
      </c>
      <c r="B225" s="12">
        <v>43</v>
      </c>
    </row>
    <row r="226" spans="1:3" x14ac:dyDescent="0.25">
      <c r="A226" s="1" t="s">
        <v>18</v>
      </c>
      <c r="B226" s="12">
        <v>43</v>
      </c>
    </row>
    <row r="227" spans="1:3" x14ac:dyDescent="0.25">
      <c r="A227" s="1" t="s">
        <v>19</v>
      </c>
      <c r="B227" s="12">
        <v>43</v>
      </c>
    </row>
    <row r="228" spans="1:3" x14ac:dyDescent="0.25">
      <c r="A228" s="1" t="s">
        <v>20</v>
      </c>
      <c r="B228" s="12">
        <v>43</v>
      </c>
    </row>
    <row r="229" spans="1:3" x14ac:dyDescent="0.25">
      <c r="B229"/>
      <c r="C229"/>
    </row>
    <row r="230" spans="1:3" x14ac:dyDescent="0.25">
      <c r="A230" s="7" t="s">
        <v>47</v>
      </c>
    </row>
    <row r="231" spans="1:3" x14ac:dyDescent="0.25">
      <c r="A231" s="1" t="s">
        <v>3</v>
      </c>
      <c r="B231" s="12">
        <v>104</v>
      </c>
    </row>
    <row r="232" spans="1:3" x14ac:dyDescent="0.25">
      <c r="A232" s="1" t="s">
        <v>1</v>
      </c>
      <c r="B232" s="12">
        <v>104</v>
      </c>
    </row>
    <row r="233" spans="1:3" x14ac:dyDescent="0.25">
      <c r="A233" s="1" t="s">
        <v>4</v>
      </c>
      <c r="B233" s="12">
        <v>104</v>
      </c>
    </row>
    <row r="234" spans="1:3" x14ac:dyDescent="0.25">
      <c r="A234" s="1" t="s">
        <v>5</v>
      </c>
      <c r="B234" s="12">
        <v>104</v>
      </c>
    </row>
    <row r="235" spans="1:3" x14ac:dyDescent="0.25">
      <c r="A235" s="1" t="s">
        <v>6</v>
      </c>
      <c r="B235" s="12">
        <v>104</v>
      </c>
    </row>
    <row r="236" spans="1:3" x14ac:dyDescent="0.25">
      <c r="A236" s="1" t="s">
        <v>7</v>
      </c>
      <c r="B236" s="12">
        <v>104</v>
      </c>
    </row>
    <row r="237" spans="1:3" x14ac:dyDescent="0.25">
      <c r="A237" s="1" t="s">
        <v>8</v>
      </c>
      <c r="B237" s="12">
        <v>104</v>
      </c>
    </row>
    <row r="238" spans="1:3" x14ac:dyDescent="0.25">
      <c r="A238" s="1" t="s">
        <v>9</v>
      </c>
      <c r="B238" s="12">
        <v>104</v>
      </c>
    </row>
    <row r="239" spans="1:3" x14ac:dyDescent="0.25">
      <c r="A239" s="1" t="s">
        <v>10</v>
      </c>
      <c r="B239" s="12">
        <v>104</v>
      </c>
    </row>
    <row r="240" spans="1:3" x14ac:dyDescent="0.25">
      <c r="A240" s="1" t="s">
        <v>11</v>
      </c>
      <c r="B240" s="12">
        <v>104</v>
      </c>
    </row>
    <row r="241" spans="1:3" x14ac:dyDescent="0.25">
      <c r="A241" s="1" t="s">
        <v>12</v>
      </c>
      <c r="B241" s="12">
        <v>104</v>
      </c>
    </row>
    <row r="242" spans="1:3" x14ac:dyDescent="0.25">
      <c r="A242" s="1" t="s">
        <v>13</v>
      </c>
      <c r="B242" s="12">
        <v>104</v>
      </c>
    </row>
    <row r="243" spans="1:3" x14ac:dyDescent="0.25">
      <c r="A243" s="1" t="s">
        <v>14</v>
      </c>
      <c r="B243" s="12">
        <v>104</v>
      </c>
    </row>
    <row r="244" spans="1:3" x14ac:dyDescent="0.25">
      <c r="A244" s="1" t="s">
        <v>15</v>
      </c>
      <c r="B244" s="12">
        <v>104</v>
      </c>
    </row>
    <row r="245" spans="1:3" x14ac:dyDescent="0.25">
      <c r="A245" s="1" t="s">
        <v>16</v>
      </c>
      <c r="B245" s="12">
        <v>104</v>
      </c>
    </row>
    <row r="246" spans="1:3" x14ac:dyDescent="0.25">
      <c r="A246" s="1" t="s">
        <v>17</v>
      </c>
      <c r="B246" s="12">
        <v>104</v>
      </c>
    </row>
    <row r="247" spans="1:3" x14ac:dyDescent="0.25">
      <c r="A247" s="1" t="s">
        <v>18</v>
      </c>
      <c r="B247" s="12">
        <v>104</v>
      </c>
    </row>
    <row r="248" spans="1:3" x14ac:dyDescent="0.25">
      <c r="A248" s="1" t="s">
        <v>19</v>
      </c>
      <c r="B248" s="12">
        <v>104</v>
      </c>
    </row>
    <row r="249" spans="1:3" x14ac:dyDescent="0.25">
      <c r="A249" s="1" t="s">
        <v>20</v>
      </c>
      <c r="B249" s="12">
        <v>104</v>
      </c>
    </row>
    <row r="250" spans="1:3" x14ac:dyDescent="0.25">
      <c r="B250"/>
      <c r="C250"/>
    </row>
    <row r="251" spans="1:3" x14ac:dyDescent="0.25">
      <c r="A251" s="7" t="s">
        <v>48</v>
      </c>
    </row>
    <row r="252" spans="1:3" x14ac:dyDescent="0.25">
      <c r="A252" s="1" t="s">
        <v>3</v>
      </c>
      <c r="B252" s="12">
        <v>125</v>
      </c>
    </row>
    <row r="253" spans="1:3" x14ac:dyDescent="0.25">
      <c r="A253" s="1" t="s">
        <v>1</v>
      </c>
      <c r="B253" s="12">
        <v>125</v>
      </c>
    </row>
    <row r="254" spans="1:3" x14ac:dyDescent="0.25">
      <c r="A254" s="1" t="s">
        <v>4</v>
      </c>
      <c r="B254" s="12">
        <v>125</v>
      </c>
    </row>
    <row r="255" spans="1:3" x14ac:dyDescent="0.25">
      <c r="A255" s="1" t="s">
        <v>5</v>
      </c>
      <c r="B255" s="12">
        <v>125</v>
      </c>
    </row>
    <row r="256" spans="1:3" x14ac:dyDescent="0.25">
      <c r="A256" s="1" t="s">
        <v>6</v>
      </c>
      <c r="B256" s="12">
        <v>125</v>
      </c>
    </row>
    <row r="257" spans="1:3" x14ac:dyDescent="0.25">
      <c r="A257" s="1" t="s">
        <v>7</v>
      </c>
      <c r="B257" s="12">
        <v>125</v>
      </c>
    </row>
    <row r="258" spans="1:3" x14ac:dyDescent="0.25">
      <c r="A258" s="1" t="s">
        <v>8</v>
      </c>
      <c r="B258" s="12">
        <v>125</v>
      </c>
    </row>
    <row r="259" spans="1:3" x14ac:dyDescent="0.25">
      <c r="A259" s="1" t="s">
        <v>9</v>
      </c>
      <c r="B259" s="12">
        <v>125</v>
      </c>
    </row>
    <row r="260" spans="1:3" x14ac:dyDescent="0.25">
      <c r="A260" s="1" t="s">
        <v>10</v>
      </c>
      <c r="B260" s="12">
        <v>125</v>
      </c>
    </row>
    <row r="261" spans="1:3" x14ac:dyDescent="0.25">
      <c r="A261" s="1" t="s">
        <v>11</v>
      </c>
      <c r="B261" s="12">
        <v>125</v>
      </c>
    </row>
    <row r="262" spans="1:3" x14ac:dyDescent="0.25">
      <c r="A262" s="1" t="s">
        <v>12</v>
      </c>
      <c r="B262" s="12">
        <v>125</v>
      </c>
    </row>
    <row r="263" spans="1:3" x14ac:dyDescent="0.25">
      <c r="A263" s="1" t="s">
        <v>13</v>
      </c>
      <c r="B263" s="12">
        <v>125</v>
      </c>
    </row>
    <row r="264" spans="1:3" x14ac:dyDescent="0.25">
      <c r="A264" s="1" t="s">
        <v>14</v>
      </c>
      <c r="B264" s="12">
        <v>125</v>
      </c>
    </row>
    <row r="265" spans="1:3" x14ac:dyDescent="0.25">
      <c r="A265" s="1" t="s">
        <v>15</v>
      </c>
      <c r="B265" s="12">
        <v>125</v>
      </c>
    </row>
    <row r="266" spans="1:3" x14ac:dyDescent="0.25">
      <c r="A266" s="1" t="s">
        <v>16</v>
      </c>
      <c r="B266" s="12">
        <v>125</v>
      </c>
    </row>
    <row r="267" spans="1:3" x14ac:dyDescent="0.25">
      <c r="A267" s="1" t="s">
        <v>17</v>
      </c>
      <c r="B267" s="12">
        <v>125</v>
      </c>
    </row>
    <row r="268" spans="1:3" x14ac:dyDescent="0.25">
      <c r="A268" s="1" t="s">
        <v>18</v>
      </c>
      <c r="B268" s="12">
        <v>125</v>
      </c>
    </row>
    <row r="269" spans="1:3" x14ac:dyDescent="0.25">
      <c r="A269" s="1" t="s">
        <v>19</v>
      </c>
      <c r="B269" s="12">
        <v>125</v>
      </c>
    </row>
    <row r="270" spans="1:3" x14ac:dyDescent="0.25">
      <c r="A270" s="1" t="s">
        <v>20</v>
      </c>
      <c r="B270" s="12">
        <v>125</v>
      </c>
    </row>
    <row r="271" spans="1:3" x14ac:dyDescent="0.25">
      <c r="B271"/>
      <c r="C271"/>
    </row>
    <row r="272" spans="1:3" x14ac:dyDescent="0.25">
      <c r="B272"/>
      <c r="C272"/>
    </row>
    <row r="273" spans="1:2" x14ac:dyDescent="0.25">
      <c r="A273" s="7" t="s">
        <v>46</v>
      </c>
    </row>
    <row r="274" spans="1:2" x14ac:dyDescent="0.25">
      <c r="A274" s="1" t="s">
        <v>3</v>
      </c>
      <c r="B274" s="12">
        <v>770</v>
      </c>
    </row>
    <row r="275" spans="1:2" x14ac:dyDescent="0.25">
      <c r="A275" s="1" t="s">
        <v>1</v>
      </c>
      <c r="B275" s="12">
        <v>770</v>
      </c>
    </row>
    <row r="276" spans="1:2" x14ac:dyDescent="0.25">
      <c r="A276" s="1" t="s">
        <v>4</v>
      </c>
      <c r="B276" s="12">
        <v>770</v>
      </c>
    </row>
    <row r="277" spans="1:2" x14ac:dyDescent="0.25">
      <c r="A277" s="1" t="s">
        <v>5</v>
      </c>
      <c r="B277" s="12">
        <v>770</v>
      </c>
    </row>
    <row r="278" spans="1:2" x14ac:dyDescent="0.25">
      <c r="A278" s="1" t="s">
        <v>6</v>
      </c>
      <c r="B278" s="12">
        <v>770</v>
      </c>
    </row>
    <row r="279" spans="1:2" x14ac:dyDescent="0.25">
      <c r="A279" s="1" t="s">
        <v>7</v>
      </c>
      <c r="B279" s="12">
        <v>1235</v>
      </c>
    </row>
    <row r="280" spans="1:2" x14ac:dyDescent="0.25">
      <c r="A280" s="1" t="s">
        <v>8</v>
      </c>
      <c r="B280" s="12">
        <v>1235</v>
      </c>
    </row>
    <row r="281" spans="1:2" x14ac:dyDescent="0.25">
      <c r="A281" s="1" t="s">
        <v>9</v>
      </c>
      <c r="B281" s="12">
        <v>1235</v>
      </c>
    </row>
    <row r="282" spans="1:2" x14ac:dyDescent="0.25">
      <c r="A282" s="1" t="s">
        <v>10</v>
      </c>
      <c r="B282" s="12">
        <v>1365</v>
      </c>
    </row>
    <row r="283" spans="1:2" x14ac:dyDescent="0.25">
      <c r="A283" s="1" t="s">
        <v>11</v>
      </c>
      <c r="B283" s="12">
        <v>1365</v>
      </c>
    </row>
    <row r="284" spans="1:2" x14ac:dyDescent="0.25">
      <c r="A284" s="1" t="s">
        <v>12</v>
      </c>
      <c r="B284" s="12">
        <v>1365</v>
      </c>
    </row>
    <row r="285" spans="1:2" x14ac:dyDescent="0.25">
      <c r="A285" s="1" t="s">
        <v>13</v>
      </c>
      <c r="B285" s="12">
        <v>1415</v>
      </c>
    </row>
    <row r="286" spans="1:2" x14ac:dyDescent="0.25">
      <c r="A286" s="1" t="s">
        <v>14</v>
      </c>
      <c r="B286" s="12">
        <v>1415</v>
      </c>
    </row>
    <row r="287" spans="1:2" x14ac:dyDescent="0.25">
      <c r="A287" s="1" t="s">
        <v>15</v>
      </c>
      <c r="B287" s="12">
        <v>1415</v>
      </c>
    </row>
    <row r="288" spans="1:2" x14ac:dyDescent="0.25">
      <c r="A288" s="1" t="s">
        <v>16</v>
      </c>
      <c r="B288" s="12">
        <v>1415</v>
      </c>
    </row>
    <row r="289" spans="1:3" x14ac:dyDescent="0.25">
      <c r="A289" s="1" t="s">
        <v>17</v>
      </c>
      <c r="B289" s="12">
        <v>1415</v>
      </c>
    </row>
    <row r="290" spans="1:3" x14ac:dyDescent="0.25">
      <c r="A290" s="1" t="s">
        <v>18</v>
      </c>
      <c r="B290" s="12">
        <v>1415</v>
      </c>
    </row>
    <row r="291" spans="1:3" x14ac:dyDescent="0.25">
      <c r="A291" s="1" t="s">
        <v>19</v>
      </c>
      <c r="B291" s="12">
        <v>1415</v>
      </c>
    </row>
    <row r="292" spans="1:3" x14ac:dyDescent="0.25">
      <c r="A292" s="1" t="s">
        <v>20</v>
      </c>
      <c r="B292" s="12">
        <v>1415</v>
      </c>
    </row>
    <row r="293" spans="1:3" x14ac:dyDescent="0.25">
      <c r="B293"/>
      <c r="C293"/>
    </row>
    <row r="294" spans="1:3" x14ac:dyDescent="0.25">
      <c r="A294" s="7" t="s">
        <v>50</v>
      </c>
    </row>
    <row r="295" spans="1:3" x14ac:dyDescent="0.25">
      <c r="A295" s="1" t="s">
        <v>3</v>
      </c>
      <c r="B295" s="12">
        <v>160</v>
      </c>
    </row>
    <row r="296" spans="1:3" x14ac:dyDescent="0.25">
      <c r="A296" s="1" t="s">
        <v>1</v>
      </c>
      <c r="B296" s="12">
        <v>160</v>
      </c>
    </row>
    <row r="297" spans="1:3" x14ac:dyDescent="0.25">
      <c r="A297" s="1" t="s">
        <v>4</v>
      </c>
      <c r="B297" s="12">
        <v>160</v>
      </c>
    </row>
    <row r="298" spans="1:3" x14ac:dyDescent="0.25">
      <c r="A298" s="1" t="s">
        <v>5</v>
      </c>
      <c r="B298" s="12">
        <v>160</v>
      </c>
    </row>
    <row r="299" spans="1:3" x14ac:dyDescent="0.25">
      <c r="A299" s="1" t="s">
        <v>6</v>
      </c>
      <c r="B299" s="12">
        <v>160</v>
      </c>
    </row>
    <row r="300" spans="1:3" x14ac:dyDescent="0.25">
      <c r="A300" s="1" t="s">
        <v>7</v>
      </c>
      <c r="B300" s="12">
        <v>160</v>
      </c>
    </row>
    <row r="301" spans="1:3" x14ac:dyDescent="0.25">
      <c r="A301" s="1" t="s">
        <v>8</v>
      </c>
      <c r="B301" s="12">
        <v>160</v>
      </c>
    </row>
    <row r="302" spans="1:3" x14ac:dyDescent="0.25">
      <c r="A302" s="1" t="s">
        <v>9</v>
      </c>
      <c r="B302" s="12">
        <v>160</v>
      </c>
    </row>
    <row r="303" spans="1:3" x14ac:dyDescent="0.25">
      <c r="A303" s="1" t="s">
        <v>10</v>
      </c>
      <c r="B303" s="12">
        <v>160</v>
      </c>
    </row>
    <row r="304" spans="1:3" x14ac:dyDescent="0.25">
      <c r="A304" s="1" t="s">
        <v>11</v>
      </c>
      <c r="B304" s="12">
        <v>160</v>
      </c>
    </row>
    <row r="305" spans="1:5" x14ac:dyDescent="0.25">
      <c r="A305" s="1" t="s">
        <v>12</v>
      </c>
      <c r="B305" s="12">
        <v>160</v>
      </c>
    </row>
    <row r="306" spans="1:5" x14ac:dyDescent="0.25">
      <c r="A306" s="1" t="s">
        <v>13</v>
      </c>
      <c r="B306" s="12">
        <v>160</v>
      </c>
    </row>
    <row r="307" spans="1:5" x14ac:dyDescent="0.25">
      <c r="A307" s="1" t="s">
        <v>14</v>
      </c>
      <c r="B307" s="12">
        <v>160</v>
      </c>
    </row>
    <row r="308" spans="1:5" x14ac:dyDescent="0.25">
      <c r="A308" s="1" t="s">
        <v>15</v>
      </c>
      <c r="B308" s="12">
        <v>160</v>
      </c>
    </row>
    <row r="309" spans="1:5" x14ac:dyDescent="0.25">
      <c r="A309" s="1" t="s">
        <v>16</v>
      </c>
      <c r="B309" s="12">
        <v>160</v>
      </c>
    </row>
    <row r="310" spans="1:5" x14ac:dyDescent="0.25">
      <c r="A310" s="1" t="s">
        <v>17</v>
      </c>
      <c r="B310" s="12">
        <v>160</v>
      </c>
    </row>
    <row r="311" spans="1:5" x14ac:dyDescent="0.25">
      <c r="A311" s="1" t="s">
        <v>18</v>
      </c>
      <c r="B311" s="12">
        <v>160</v>
      </c>
    </row>
    <row r="312" spans="1:5" x14ac:dyDescent="0.25">
      <c r="A312" s="1" t="s">
        <v>19</v>
      </c>
      <c r="B312" s="12">
        <v>160</v>
      </c>
    </row>
    <row r="313" spans="1:5" x14ac:dyDescent="0.25">
      <c r="A313" s="1" t="s">
        <v>20</v>
      </c>
      <c r="B313" s="12">
        <v>160</v>
      </c>
    </row>
    <row r="314" spans="1:5" x14ac:dyDescent="0.25">
      <c r="A314" s="7"/>
    </row>
    <row r="315" spans="1:5" x14ac:dyDescent="0.25">
      <c r="A315" s="7"/>
    </row>
    <row r="316" spans="1:5" x14ac:dyDescent="0.25">
      <c r="A316" s="7" t="s">
        <v>38</v>
      </c>
      <c r="B316" s="9" t="s">
        <v>7</v>
      </c>
      <c r="C316" s="9" t="s">
        <v>8</v>
      </c>
      <c r="D316" t="s">
        <v>9</v>
      </c>
      <c r="E316" t="s">
        <v>223</v>
      </c>
    </row>
    <row r="317" spans="1:5" x14ac:dyDescent="0.25">
      <c r="A317" s="7" t="s">
        <v>51</v>
      </c>
      <c r="B317" s="10">
        <v>5000</v>
      </c>
    </row>
    <row r="318" spans="1:5" x14ac:dyDescent="0.25">
      <c r="A318" s="7" t="s">
        <v>52</v>
      </c>
      <c r="B318" s="10">
        <v>10000</v>
      </c>
      <c r="C318" s="10">
        <v>10000</v>
      </c>
      <c r="D318" s="10">
        <v>10000</v>
      </c>
      <c r="E318" s="10">
        <v>10000</v>
      </c>
    </row>
    <row r="319" spans="1:5" x14ac:dyDescent="0.25">
      <c r="A319" s="7" t="s">
        <v>53</v>
      </c>
      <c r="B319" s="10">
        <v>3000</v>
      </c>
    </row>
    <row r="320" spans="1:5" x14ac:dyDescent="0.25">
      <c r="A320" s="7" t="s">
        <v>54</v>
      </c>
      <c r="B320" s="10">
        <v>7500</v>
      </c>
      <c r="C320" s="10">
        <v>3000</v>
      </c>
      <c r="D320" s="10">
        <v>3000</v>
      </c>
      <c r="E320" s="10">
        <v>3000</v>
      </c>
    </row>
    <row r="321" spans="1:5" x14ac:dyDescent="0.25">
      <c r="A321" s="7" t="s">
        <v>55</v>
      </c>
      <c r="B321" s="10">
        <v>15000</v>
      </c>
      <c r="C321" s="10">
        <v>15000</v>
      </c>
      <c r="D321" s="10">
        <v>15000</v>
      </c>
      <c r="E321" s="10">
        <v>15000</v>
      </c>
    </row>
    <row r="322" spans="1:5" x14ac:dyDescent="0.25">
      <c r="A322" s="7" t="s">
        <v>56</v>
      </c>
      <c r="B322" s="10">
        <v>13500</v>
      </c>
      <c r="C322" s="10">
        <v>13500</v>
      </c>
      <c r="D322" s="10">
        <v>13500</v>
      </c>
      <c r="E322" s="10">
        <v>13500</v>
      </c>
    </row>
    <row r="323" spans="1:5" x14ac:dyDescent="0.25">
      <c r="A323" s="7" t="s">
        <v>57</v>
      </c>
      <c r="B323" s="10">
        <v>20000</v>
      </c>
      <c r="C323" s="10">
        <v>20000</v>
      </c>
      <c r="D323" s="10">
        <v>20000</v>
      </c>
      <c r="E323" s="10">
        <v>20000</v>
      </c>
    </row>
    <row r="324" spans="1:5" x14ac:dyDescent="0.25">
      <c r="A324" s="7" t="s">
        <v>58</v>
      </c>
      <c r="B324" s="10">
        <v>2000</v>
      </c>
      <c r="C324" s="10">
        <v>500</v>
      </c>
      <c r="D324" s="10">
        <v>500</v>
      </c>
      <c r="E324" s="10">
        <v>500</v>
      </c>
    </row>
    <row r="325" spans="1:5" x14ac:dyDescent="0.25">
      <c r="A325" s="7" t="s">
        <v>59</v>
      </c>
      <c r="B325" s="10">
        <v>100</v>
      </c>
      <c r="C325" s="10">
        <v>200</v>
      </c>
      <c r="D325" s="10">
        <v>500</v>
      </c>
      <c r="E325" s="10">
        <v>1000</v>
      </c>
    </row>
    <row r="326" spans="1:5" x14ac:dyDescent="0.25">
      <c r="A326" s="7" t="s">
        <v>117</v>
      </c>
      <c r="B326" s="9">
        <v>5000</v>
      </c>
      <c r="C326" s="10">
        <v>3000</v>
      </c>
      <c r="D326" s="10">
        <v>2000</v>
      </c>
      <c r="E326" s="10">
        <v>2000</v>
      </c>
    </row>
    <row r="328" spans="1:5" x14ac:dyDescent="0.25">
      <c r="A328" s="7" t="s">
        <v>60</v>
      </c>
      <c r="B328" s="9" t="s">
        <v>128</v>
      </c>
      <c r="C328" s="9" t="s">
        <v>131</v>
      </c>
    </row>
    <row r="329" spans="1:5" x14ac:dyDescent="0.25">
      <c r="A329" t="s">
        <v>61</v>
      </c>
      <c r="B329" s="10">
        <v>23232064</v>
      </c>
      <c r="C329" s="10">
        <v>10</v>
      </c>
    </row>
    <row r="330" spans="1:5" x14ac:dyDescent="0.25">
      <c r="A330" t="s">
        <v>62</v>
      </c>
      <c r="B330" s="10">
        <v>300000</v>
      </c>
      <c r="C330" s="10">
        <v>10</v>
      </c>
    </row>
    <row r="331" spans="1:5" x14ac:dyDescent="0.25">
      <c r="A331" t="s">
        <v>63</v>
      </c>
      <c r="B331" s="10">
        <v>200000</v>
      </c>
      <c r="C331" s="10">
        <v>10</v>
      </c>
    </row>
    <row r="332" spans="1:5" x14ac:dyDescent="0.25">
      <c r="A332" t="s">
        <v>64</v>
      </c>
      <c r="B332" s="10">
        <v>50000</v>
      </c>
      <c r="C332" s="10">
        <v>10</v>
      </c>
    </row>
    <row r="333" spans="1:5" x14ac:dyDescent="0.25">
      <c r="A333" t="s">
        <v>65</v>
      </c>
      <c r="B333" s="10">
        <v>632000</v>
      </c>
      <c r="C333" s="10">
        <v>10</v>
      </c>
    </row>
    <row r="334" spans="1:5" x14ac:dyDescent="0.25">
      <c r="A334" t="s">
        <v>66</v>
      </c>
      <c r="B334" s="10">
        <v>325960</v>
      </c>
      <c r="C334" s="10">
        <v>10</v>
      </c>
    </row>
    <row r="335" spans="1:5" x14ac:dyDescent="0.25">
      <c r="A335" t="s">
        <v>67</v>
      </c>
      <c r="B335" s="10">
        <v>24000</v>
      </c>
      <c r="C335" s="10">
        <v>10</v>
      </c>
    </row>
    <row r="336" spans="1:5" x14ac:dyDescent="0.25">
      <c r="A336" t="s">
        <v>68</v>
      </c>
      <c r="B336" s="10">
        <v>80000</v>
      </c>
      <c r="C336" s="10">
        <v>10</v>
      </c>
    </row>
    <row r="337" spans="1:3" x14ac:dyDescent="0.25">
      <c r="A337" t="s">
        <v>69</v>
      </c>
      <c r="B337" s="10">
        <v>300000</v>
      </c>
      <c r="C337" s="10">
        <v>10</v>
      </c>
    </row>
    <row r="338" spans="1:3" x14ac:dyDescent="0.25">
      <c r="A338" t="s">
        <v>70</v>
      </c>
      <c r="B338" s="10">
        <v>100000</v>
      </c>
      <c r="C338" s="10">
        <v>10</v>
      </c>
    </row>
  </sheetData>
  <dataValidations count="1">
    <dataValidation type="list" allowBlank="1" showInputMessage="1" showErrorMessage="1" sqref="A11" xr:uid="{83DDC37A-DA1F-41A0-9309-5328EEC836A3}">
      <formula1>$A$14:$A$16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DB977-788B-4195-B60C-C3B4161B6028}">
  <sheetPr codeName="Sheet2">
    <tabColor rgb="FF92D050"/>
  </sheetPr>
  <dimension ref="A1:AK35"/>
  <sheetViews>
    <sheetView showGridLines="0" zoomScale="85" zoomScaleNormal="85" workbookViewId="0">
      <pane xSplit="9" ySplit="5" topLeftCell="J6" activePane="bottomRight" state="frozen"/>
      <selection activeCell="F31" sqref="F31"/>
      <selection pane="topRight" activeCell="F31" sqref="F31"/>
      <selection pane="bottomLeft" activeCell="F31" sqref="F31"/>
      <selection pane="bottomRight" activeCell="J6" sqref="J6"/>
    </sheetView>
  </sheetViews>
  <sheetFormatPr defaultRowHeight="15" x14ac:dyDescent="0.25"/>
  <cols>
    <col min="1" max="4" width="2.28515625" customWidth="1"/>
    <col min="5" max="5" width="19.7109375" customWidth="1"/>
    <col min="9" max="9" width="2.7109375" customWidth="1"/>
    <col min="10" max="36" width="15.85546875" customWidth="1"/>
  </cols>
  <sheetData>
    <row r="1" spans="1:36" ht="34.5" x14ac:dyDescent="0.55000000000000004">
      <c r="A1" s="21" t="s">
        <v>85</v>
      </c>
    </row>
    <row r="2" spans="1:36" s="20" customFormat="1" x14ac:dyDescent="0.25">
      <c r="J2" s="18"/>
      <c r="K2" s="18" t="s">
        <v>76</v>
      </c>
      <c r="L2" s="18"/>
      <c r="M2" s="19"/>
      <c r="N2" s="19" t="s">
        <v>77</v>
      </c>
      <c r="O2" s="19"/>
      <c r="P2" s="18"/>
      <c r="Q2" s="18" t="s">
        <v>78</v>
      </c>
      <c r="R2" s="18"/>
      <c r="S2" s="19"/>
      <c r="T2" s="19" t="s">
        <v>79</v>
      </c>
      <c r="U2" s="19"/>
      <c r="V2" s="18"/>
      <c r="W2" s="18" t="s">
        <v>80</v>
      </c>
      <c r="X2" s="18"/>
      <c r="Y2" s="19"/>
      <c r="Z2" s="19" t="s">
        <v>81</v>
      </c>
      <c r="AA2" s="19"/>
      <c r="AB2" s="18"/>
      <c r="AC2" s="18" t="s">
        <v>82</v>
      </c>
      <c r="AD2" s="18"/>
      <c r="AE2" s="19"/>
      <c r="AF2" s="19" t="s">
        <v>83</v>
      </c>
      <c r="AG2" s="19"/>
      <c r="AH2" s="18"/>
      <c r="AI2" s="18" t="s">
        <v>84</v>
      </c>
      <c r="AJ2" s="18"/>
    </row>
    <row r="3" spans="1:36" x14ac:dyDescent="0.25">
      <c r="J3" s="14" t="s">
        <v>72</v>
      </c>
      <c r="K3" s="14" t="s">
        <v>73</v>
      </c>
      <c r="L3" s="14" t="s">
        <v>74</v>
      </c>
      <c r="M3" s="16" t="s">
        <v>72</v>
      </c>
      <c r="N3" s="16" t="s">
        <v>73</v>
      </c>
      <c r="O3" s="16" t="s">
        <v>74</v>
      </c>
      <c r="P3" s="14" t="s">
        <v>72</v>
      </c>
      <c r="Q3" s="14" t="s">
        <v>73</v>
      </c>
      <c r="R3" s="14" t="s">
        <v>74</v>
      </c>
      <c r="S3" s="16" t="s">
        <v>72</v>
      </c>
      <c r="T3" s="16" t="s">
        <v>73</v>
      </c>
      <c r="U3" s="16" t="s">
        <v>74</v>
      </c>
      <c r="V3" s="14" t="s">
        <v>72</v>
      </c>
      <c r="W3" s="14" t="s">
        <v>73</v>
      </c>
      <c r="X3" s="14" t="s">
        <v>74</v>
      </c>
      <c r="Y3" s="16" t="s">
        <v>72</v>
      </c>
      <c r="Z3" s="16" t="s">
        <v>73</v>
      </c>
      <c r="AA3" s="16" t="s">
        <v>74</v>
      </c>
      <c r="AB3" s="14" t="s">
        <v>72</v>
      </c>
      <c r="AC3" s="14" t="s">
        <v>73</v>
      </c>
      <c r="AD3" s="14" t="s">
        <v>74</v>
      </c>
      <c r="AE3" s="16" t="s">
        <v>72</v>
      </c>
      <c r="AF3" s="16" t="s">
        <v>73</v>
      </c>
      <c r="AG3" s="16" t="s">
        <v>74</v>
      </c>
      <c r="AH3" s="14" t="s">
        <v>72</v>
      </c>
      <c r="AI3" s="14" t="s">
        <v>73</v>
      </c>
      <c r="AJ3" s="14" t="s">
        <v>74</v>
      </c>
    </row>
    <row r="4" spans="1:36" x14ac:dyDescent="0.25">
      <c r="J4" s="15">
        <v>45536</v>
      </c>
      <c r="K4" s="15">
        <v>45658</v>
      </c>
      <c r="L4" s="15">
        <v>45778</v>
      </c>
      <c r="M4" s="17">
        <v>45901</v>
      </c>
      <c r="N4" s="17">
        <v>46023</v>
      </c>
      <c r="O4" s="17">
        <v>46143</v>
      </c>
      <c r="P4" s="15">
        <v>46266</v>
      </c>
      <c r="Q4" s="15">
        <v>46388</v>
      </c>
      <c r="R4" s="15">
        <v>46508</v>
      </c>
      <c r="S4" s="17">
        <v>46631</v>
      </c>
      <c r="T4" s="17">
        <v>46753</v>
      </c>
      <c r="U4" s="17">
        <v>46874</v>
      </c>
      <c r="V4" s="15">
        <v>46997</v>
      </c>
      <c r="W4" s="15">
        <v>47119</v>
      </c>
      <c r="X4" s="15">
        <v>47239</v>
      </c>
      <c r="Y4" s="17">
        <v>47362</v>
      </c>
      <c r="Z4" s="17">
        <v>47484</v>
      </c>
      <c r="AA4" s="17">
        <v>47604</v>
      </c>
      <c r="AB4" s="15">
        <v>47727</v>
      </c>
      <c r="AC4" s="15">
        <v>47849</v>
      </c>
      <c r="AD4" s="15">
        <v>47969</v>
      </c>
      <c r="AE4" s="17">
        <v>48092</v>
      </c>
      <c r="AF4" s="17">
        <v>48214</v>
      </c>
      <c r="AG4" s="17">
        <v>48335</v>
      </c>
      <c r="AH4" s="15">
        <v>48458</v>
      </c>
      <c r="AI4" s="15">
        <v>48580</v>
      </c>
      <c r="AJ4" s="15">
        <v>48700</v>
      </c>
    </row>
    <row r="5" spans="1:36" x14ac:dyDescent="0.25">
      <c r="F5" t="s">
        <v>87</v>
      </c>
      <c r="G5" t="s">
        <v>88</v>
      </c>
      <c r="H5" t="s">
        <v>86</v>
      </c>
      <c r="J5">
        <v>1</v>
      </c>
      <c r="K5">
        <v>2</v>
      </c>
      <c r="L5">
        <v>3</v>
      </c>
      <c r="M5">
        <v>4</v>
      </c>
      <c r="N5">
        <v>5</v>
      </c>
      <c r="O5">
        <v>6</v>
      </c>
      <c r="P5">
        <v>7</v>
      </c>
      <c r="Q5">
        <v>8</v>
      </c>
      <c r="R5">
        <v>9</v>
      </c>
      <c r="S5">
        <v>10</v>
      </c>
      <c r="T5">
        <v>11</v>
      </c>
      <c r="U5">
        <v>12</v>
      </c>
      <c r="V5">
        <v>13</v>
      </c>
      <c r="W5">
        <v>14</v>
      </c>
      <c r="X5">
        <v>15</v>
      </c>
      <c r="Y5">
        <v>16</v>
      </c>
      <c r="Z5">
        <v>17</v>
      </c>
      <c r="AA5">
        <v>18</v>
      </c>
      <c r="AB5">
        <v>19</v>
      </c>
      <c r="AC5">
        <v>20</v>
      </c>
      <c r="AD5">
        <v>21</v>
      </c>
      <c r="AE5">
        <v>22</v>
      </c>
      <c r="AF5">
        <v>23</v>
      </c>
      <c r="AG5">
        <v>24</v>
      </c>
      <c r="AH5">
        <v>25</v>
      </c>
      <c r="AI5">
        <v>26</v>
      </c>
      <c r="AJ5">
        <v>27</v>
      </c>
    </row>
    <row r="6" spans="1:36" x14ac:dyDescent="0.25">
      <c r="E6" t="s">
        <v>225</v>
      </c>
      <c r="F6" s="24">
        <f>Input!B11</f>
        <v>0.6</v>
      </c>
    </row>
    <row r="7" spans="1:36" x14ac:dyDescent="0.25">
      <c r="B7" t="s">
        <v>93</v>
      </c>
    </row>
    <row r="8" spans="1:36" x14ac:dyDescent="0.25">
      <c r="C8" t="s">
        <v>95</v>
      </c>
    </row>
    <row r="9" spans="1:36" x14ac:dyDescent="0.25">
      <c r="E9" s="22" t="str">
        <f>Input!A37</f>
        <v>Creche</v>
      </c>
      <c r="F9" s="22">
        <f>Input!B37</f>
        <v>7688</v>
      </c>
      <c r="G9" t="s">
        <v>96</v>
      </c>
      <c r="J9" s="26">
        <f>$F9*$F$30</f>
        <v>69192</v>
      </c>
      <c r="K9" s="26">
        <f t="shared" ref="K9:L9" si="0">$F9*$F$30</f>
        <v>69192</v>
      </c>
      <c r="L9" s="26">
        <f t="shared" si="0"/>
        <v>69192</v>
      </c>
      <c r="M9" s="26">
        <f>J9*(1+Input!$B$36)</f>
        <v>72651.600000000006</v>
      </c>
      <c r="N9" s="26">
        <f>K9*(1+Input!$B$36)</f>
        <v>72651.600000000006</v>
      </c>
      <c r="O9" s="26">
        <f>L9*(1+Input!$B$36)</f>
        <v>72651.600000000006</v>
      </c>
      <c r="P9" s="26">
        <f>M9*(1+Input!$B$36)</f>
        <v>76284.180000000008</v>
      </c>
      <c r="Q9" s="26">
        <f>N9*(1+Input!$B$36)</f>
        <v>76284.180000000008</v>
      </c>
      <c r="R9" s="26">
        <f>O9*(1+Input!$B$36)</f>
        <v>76284.180000000008</v>
      </c>
      <c r="S9" s="26">
        <f>P9*(1+Input!$B$36)</f>
        <v>80098.38900000001</v>
      </c>
      <c r="T9" s="26">
        <f>Q9*(1+Input!$B$36)</f>
        <v>80098.38900000001</v>
      </c>
      <c r="U9" s="26">
        <f>R9*(1+Input!$B$36)</f>
        <v>80098.38900000001</v>
      </c>
      <c r="V9" s="26">
        <f>S9*(1+Input!$B$36)</f>
        <v>84103.308450000011</v>
      </c>
      <c r="W9" s="26">
        <f>T9*(1+Input!$B$36)</f>
        <v>84103.308450000011</v>
      </c>
      <c r="X9" s="26">
        <f>U9*(1+Input!$B$36)</f>
        <v>84103.308450000011</v>
      </c>
      <c r="Y9" s="26">
        <f>V9*(1+Input!$B$36)</f>
        <v>88308.473872500021</v>
      </c>
      <c r="Z9" s="26">
        <f>W9*(1+Input!$B$36)</f>
        <v>88308.473872500021</v>
      </c>
      <c r="AA9" s="26">
        <f>X9*(1+Input!$B$36)</f>
        <v>88308.473872500021</v>
      </c>
      <c r="AB9" s="26">
        <f>Y9*(1+Input!$B$36)</f>
        <v>92723.89756612503</v>
      </c>
      <c r="AC9" s="26">
        <f>Z9*(1+Input!$B$36)</f>
        <v>92723.89756612503</v>
      </c>
      <c r="AD9" s="26">
        <f>AA9*(1+Input!$B$36)</f>
        <v>92723.89756612503</v>
      </c>
      <c r="AE9" s="26">
        <f>AB9*(1+Input!$B$36)</f>
        <v>97360.092444431284</v>
      </c>
      <c r="AF9" s="26">
        <f>AC9*(1+Input!$B$36)</f>
        <v>97360.092444431284</v>
      </c>
      <c r="AG9" s="26">
        <f>AD9*(1+Input!$B$36)</f>
        <v>97360.092444431284</v>
      </c>
      <c r="AH9" s="26">
        <f>AE9*(1+Input!$B$36)</f>
        <v>102228.09706665286</v>
      </c>
      <c r="AI9" s="26">
        <f>AF9*(1+Input!$B$36)</f>
        <v>102228.09706665286</v>
      </c>
      <c r="AJ9" s="26">
        <f>AG9*(1+Input!$B$36)</f>
        <v>102228.09706665286</v>
      </c>
    </row>
    <row r="10" spans="1:36" x14ac:dyDescent="0.25">
      <c r="E10" s="22" t="str">
        <f>Input!A38</f>
        <v>Playgroup</v>
      </c>
      <c r="F10" s="22">
        <f>Input!B38</f>
        <v>7688</v>
      </c>
      <c r="G10" t="s">
        <v>96</v>
      </c>
      <c r="J10" s="26">
        <f t="shared" ref="J10:L27" si="1">$F10*$F$30</f>
        <v>69192</v>
      </c>
      <c r="K10" s="26">
        <f t="shared" si="1"/>
        <v>69192</v>
      </c>
      <c r="L10" s="26">
        <f t="shared" si="1"/>
        <v>69192</v>
      </c>
      <c r="M10" s="26">
        <f>J10*(1+Input!$B$36)</f>
        <v>72651.600000000006</v>
      </c>
      <c r="N10" s="26">
        <f>K10*(1+Input!$B$36)</f>
        <v>72651.600000000006</v>
      </c>
      <c r="O10" s="26">
        <f>L10*(1+Input!$B$36)</f>
        <v>72651.600000000006</v>
      </c>
      <c r="P10" s="26">
        <f>M10*(1+Input!$B$36)</f>
        <v>76284.180000000008</v>
      </c>
      <c r="Q10" s="26">
        <f>N10*(1+Input!$B$36)</f>
        <v>76284.180000000008</v>
      </c>
      <c r="R10" s="26">
        <f>O10*(1+Input!$B$36)</f>
        <v>76284.180000000008</v>
      </c>
      <c r="S10" s="26">
        <f>P10*(1+Input!$B$36)</f>
        <v>80098.38900000001</v>
      </c>
      <c r="T10" s="26">
        <f>Q10*(1+Input!$B$36)</f>
        <v>80098.38900000001</v>
      </c>
      <c r="U10" s="26">
        <f>R10*(1+Input!$B$36)</f>
        <v>80098.38900000001</v>
      </c>
      <c r="V10" s="26">
        <f>S10*(1+Input!$B$36)</f>
        <v>84103.308450000011</v>
      </c>
      <c r="W10" s="26">
        <f>T10*(1+Input!$B$36)</f>
        <v>84103.308450000011</v>
      </c>
      <c r="X10" s="26">
        <f>U10*(1+Input!$B$36)</f>
        <v>84103.308450000011</v>
      </c>
      <c r="Y10" s="26">
        <f>V10*(1+Input!$B$36)</f>
        <v>88308.473872500021</v>
      </c>
      <c r="Z10" s="26">
        <f>W10*(1+Input!$B$36)</f>
        <v>88308.473872500021</v>
      </c>
      <c r="AA10" s="26">
        <f>X10*(1+Input!$B$36)</f>
        <v>88308.473872500021</v>
      </c>
      <c r="AB10" s="26">
        <f>Y10*(1+Input!$B$36)</f>
        <v>92723.89756612503</v>
      </c>
      <c r="AC10" s="26">
        <f>Z10*(1+Input!$B$36)</f>
        <v>92723.89756612503</v>
      </c>
      <c r="AD10" s="26">
        <f>AA10*(1+Input!$B$36)</f>
        <v>92723.89756612503</v>
      </c>
      <c r="AE10" s="26">
        <f>AB10*(1+Input!$B$36)</f>
        <v>97360.092444431284</v>
      </c>
      <c r="AF10" s="26">
        <f>AC10*(1+Input!$B$36)</f>
        <v>97360.092444431284</v>
      </c>
      <c r="AG10" s="26">
        <f>AD10*(1+Input!$B$36)</f>
        <v>97360.092444431284</v>
      </c>
      <c r="AH10" s="26">
        <f>AE10*(1+Input!$B$36)</f>
        <v>102228.09706665286</v>
      </c>
      <c r="AI10" s="26">
        <f>AF10*(1+Input!$B$36)</f>
        <v>102228.09706665286</v>
      </c>
      <c r="AJ10" s="26">
        <f>AG10*(1+Input!$B$36)</f>
        <v>102228.09706665286</v>
      </c>
    </row>
    <row r="11" spans="1:36" x14ac:dyDescent="0.25">
      <c r="E11" s="22" t="str">
        <f>Input!A39</f>
        <v xml:space="preserve">Nursery </v>
      </c>
      <c r="F11" s="22">
        <f>Input!B39</f>
        <v>7688</v>
      </c>
      <c r="G11" t="s">
        <v>96</v>
      </c>
      <c r="J11" s="26">
        <f t="shared" si="1"/>
        <v>69192</v>
      </c>
      <c r="K11" s="26">
        <f t="shared" si="1"/>
        <v>69192</v>
      </c>
      <c r="L11" s="26">
        <f t="shared" si="1"/>
        <v>69192</v>
      </c>
      <c r="M11" s="26">
        <f>J11*(1+Input!$B$36)</f>
        <v>72651.600000000006</v>
      </c>
      <c r="N11" s="26">
        <f>K11*(1+Input!$B$36)</f>
        <v>72651.600000000006</v>
      </c>
      <c r="O11" s="26">
        <f>L11*(1+Input!$B$36)</f>
        <v>72651.600000000006</v>
      </c>
      <c r="P11" s="26">
        <f>M11*(1+Input!$B$36)</f>
        <v>76284.180000000008</v>
      </c>
      <c r="Q11" s="26">
        <f>N11*(1+Input!$B$36)</f>
        <v>76284.180000000008</v>
      </c>
      <c r="R11" s="26">
        <f>O11*(1+Input!$B$36)</f>
        <v>76284.180000000008</v>
      </c>
      <c r="S11" s="26">
        <f>P11*(1+Input!$B$36)</f>
        <v>80098.38900000001</v>
      </c>
      <c r="T11" s="26">
        <f>Q11*(1+Input!$B$36)</f>
        <v>80098.38900000001</v>
      </c>
      <c r="U11" s="26">
        <f>R11*(1+Input!$B$36)</f>
        <v>80098.38900000001</v>
      </c>
      <c r="V11" s="26">
        <f>S11*(1+Input!$B$36)</f>
        <v>84103.308450000011</v>
      </c>
      <c r="W11" s="26">
        <f>T11*(1+Input!$B$36)</f>
        <v>84103.308450000011</v>
      </c>
      <c r="X11" s="26">
        <f>U11*(1+Input!$B$36)</f>
        <v>84103.308450000011</v>
      </c>
      <c r="Y11" s="26">
        <f>V11*(1+Input!$B$36)</f>
        <v>88308.473872500021</v>
      </c>
      <c r="Z11" s="26">
        <f>W11*(1+Input!$B$36)</f>
        <v>88308.473872500021</v>
      </c>
      <c r="AA11" s="26">
        <f>X11*(1+Input!$B$36)</f>
        <v>88308.473872500021</v>
      </c>
      <c r="AB11" s="26">
        <f>Y11*(1+Input!$B$36)</f>
        <v>92723.89756612503</v>
      </c>
      <c r="AC11" s="26">
        <f>Z11*(1+Input!$B$36)</f>
        <v>92723.89756612503</v>
      </c>
      <c r="AD11" s="26">
        <f>AA11*(1+Input!$B$36)</f>
        <v>92723.89756612503</v>
      </c>
      <c r="AE11" s="26">
        <f>AB11*(1+Input!$B$36)</f>
        <v>97360.092444431284</v>
      </c>
      <c r="AF11" s="26">
        <f>AC11*(1+Input!$B$36)</f>
        <v>97360.092444431284</v>
      </c>
      <c r="AG11" s="26">
        <f>AD11*(1+Input!$B$36)</f>
        <v>97360.092444431284</v>
      </c>
      <c r="AH11" s="26">
        <f>AE11*(1+Input!$B$36)</f>
        <v>102228.09706665286</v>
      </c>
      <c r="AI11" s="26">
        <f>AF11*(1+Input!$B$36)</f>
        <v>102228.09706665286</v>
      </c>
      <c r="AJ11" s="26">
        <f>AG11*(1+Input!$B$36)</f>
        <v>102228.09706665286</v>
      </c>
    </row>
    <row r="12" spans="1:36" x14ac:dyDescent="0.25">
      <c r="E12" s="22" t="str">
        <f>Input!A40</f>
        <v xml:space="preserve">Reception 1 </v>
      </c>
      <c r="F12" s="22">
        <f>Input!B40</f>
        <v>7688</v>
      </c>
      <c r="G12" t="s">
        <v>96</v>
      </c>
      <c r="J12" s="26">
        <f t="shared" si="1"/>
        <v>69192</v>
      </c>
      <c r="K12" s="26">
        <f t="shared" si="1"/>
        <v>69192</v>
      </c>
      <c r="L12" s="26">
        <f t="shared" si="1"/>
        <v>69192</v>
      </c>
      <c r="M12" s="26">
        <f>J12*(1+Input!$B$36)</f>
        <v>72651.600000000006</v>
      </c>
      <c r="N12" s="26">
        <f>K12*(1+Input!$B$36)</f>
        <v>72651.600000000006</v>
      </c>
      <c r="O12" s="26">
        <f>L12*(1+Input!$B$36)</f>
        <v>72651.600000000006</v>
      </c>
      <c r="P12" s="26">
        <f>M12*(1+Input!$B$36)</f>
        <v>76284.180000000008</v>
      </c>
      <c r="Q12" s="26">
        <f>N12*(1+Input!$B$36)</f>
        <v>76284.180000000008</v>
      </c>
      <c r="R12" s="26">
        <f>O12*(1+Input!$B$36)</f>
        <v>76284.180000000008</v>
      </c>
      <c r="S12" s="26">
        <f>P12*(1+Input!$B$36)</f>
        <v>80098.38900000001</v>
      </c>
      <c r="T12" s="26">
        <f>Q12*(1+Input!$B$36)</f>
        <v>80098.38900000001</v>
      </c>
      <c r="U12" s="26">
        <f>R12*(1+Input!$B$36)</f>
        <v>80098.38900000001</v>
      </c>
      <c r="V12" s="26">
        <f>S12*(1+Input!$B$36)</f>
        <v>84103.308450000011</v>
      </c>
      <c r="W12" s="26">
        <f>T12*(1+Input!$B$36)</f>
        <v>84103.308450000011</v>
      </c>
      <c r="X12" s="26">
        <f>U12*(1+Input!$B$36)</f>
        <v>84103.308450000011</v>
      </c>
      <c r="Y12" s="26">
        <f>V12*(1+Input!$B$36)</f>
        <v>88308.473872500021</v>
      </c>
      <c r="Z12" s="26">
        <f>W12*(1+Input!$B$36)</f>
        <v>88308.473872500021</v>
      </c>
      <c r="AA12" s="26">
        <f>X12*(1+Input!$B$36)</f>
        <v>88308.473872500021</v>
      </c>
      <c r="AB12" s="26">
        <f>Y12*(1+Input!$B$36)</f>
        <v>92723.89756612503</v>
      </c>
      <c r="AC12" s="26">
        <f>Z12*(1+Input!$B$36)</f>
        <v>92723.89756612503</v>
      </c>
      <c r="AD12" s="26">
        <f>AA12*(1+Input!$B$36)</f>
        <v>92723.89756612503</v>
      </c>
      <c r="AE12" s="26">
        <f>AB12*(1+Input!$B$36)</f>
        <v>97360.092444431284</v>
      </c>
      <c r="AF12" s="26">
        <f>AC12*(1+Input!$B$36)</f>
        <v>97360.092444431284</v>
      </c>
      <c r="AG12" s="26">
        <f>AD12*(1+Input!$B$36)</f>
        <v>97360.092444431284</v>
      </c>
      <c r="AH12" s="26">
        <f>AE12*(1+Input!$B$36)</f>
        <v>102228.09706665286</v>
      </c>
      <c r="AI12" s="26">
        <f>AF12*(1+Input!$B$36)</f>
        <v>102228.09706665286</v>
      </c>
      <c r="AJ12" s="26">
        <f>AG12*(1+Input!$B$36)</f>
        <v>102228.09706665286</v>
      </c>
    </row>
    <row r="13" spans="1:36" x14ac:dyDescent="0.25">
      <c r="E13" s="22" t="str">
        <f>Input!A41</f>
        <v xml:space="preserve">Reception 2 </v>
      </c>
      <c r="F13" s="22">
        <f>Input!B41</f>
        <v>7688</v>
      </c>
      <c r="G13" t="s">
        <v>96</v>
      </c>
      <c r="J13" s="26">
        <f t="shared" si="1"/>
        <v>69192</v>
      </c>
      <c r="K13" s="26">
        <f t="shared" si="1"/>
        <v>69192</v>
      </c>
      <c r="L13" s="26">
        <f t="shared" si="1"/>
        <v>69192</v>
      </c>
      <c r="M13" s="26">
        <f>J13*(1+Input!$B$36)</f>
        <v>72651.600000000006</v>
      </c>
      <c r="N13" s="26">
        <f>K13*(1+Input!$B$36)</f>
        <v>72651.600000000006</v>
      </c>
      <c r="O13" s="26">
        <f>L13*(1+Input!$B$36)</f>
        <v>72651.600000000006</v>
      </c>
      <c r="P13" s="26">
        <f>M13*(1+Input!$B$36)</f>
        <v>76284.180000000008</v>
      </c>
      <c r="Q13" s="26">
        <f>N13*(1+Input!$B$36)</f>
        <v>76284.180000000008</v>
      </c>
      <c r="R13" s="26">
        <f>O13*(1+Input!$B$36)</f>
        <v>76284.180000000008</v>
      </c>
      <c r="S13" s="26">
        <f>P13*(1+Input!$B$36)</f>
        <v>80098.38900000001</v>
      </c>
      <c r="T13" s="26">
        <f>Q13*(1+Input!$B$36)</f>
        <v>80098.38900000001</v>
      </c>
      <c r="U13" s="26">
        <f>R13*(1+Input!$B$36)</f>
        <v>80098.38900000001</v>
      </c>
      <c r="V13" s="26">
        <f>S13*(1+Input!$B$36)</f>
        <v>84103.308450000011</v>
      </c>
      <c r="W13" s="26">
        <f>T13*(1+Input!$B$36)</f>
        <v>84103.308450000011</v>
      </c>
      <c r="X13" s="26">
        <f>U13*(1+Input!$B$36)</f>
        <v>84103.308450000011</v>
      </c>
      <c r="Y13" s="26">
        <f>V13*(1+Input!$B$36)</f>
        <v>88308.473872500021</v>
      </c>
      <c r="Z13" s="26">
        <f>W13*(1+Input!$B$36)</f>
        <v>88308.473872500021</v>
      </c>
      <c r="AA13" s="26">
        <f>X13*(1+Input!$B$36)</f>
        <v>88308.473872500021</v>
      </c>
      <c r="AB13" s="26">
        <f>Y13*(1+Input!$B$36)</f>
        <v>92723.89756612503</v>
      </c>
      <c r="AC13" s="26">
        <f>Z13*(1+Input!$B$36)</f>
        <v>92723.89756612503</v>
      </c>
      <c r="AD13" s="26">
        <f>AA13*(1+Input!$B$36)</f>
        <v>92723.89756612503</v>
      </c>
      <c r="AE13" s="26">
        <f>AB13*(1+Input!$B$36)</f>
        <v>97360.092444431284</v>
      </c>
      <c r="AF13" s="26">
        <f>AC13*(1+Input!$B$36)</f>
        <v>97360.092444431284</v>
      </c>
      <c r="AG13" s="26">
        <f>AD13*(1+Input!$B$36)</f>
        <v>97360.092444431284</v>
      </c>
      <c r="AH13" s="26">
        <f>AE13*(1+Input!$B$36)</f>
        <v>102228.09706665286</v>
      </c>
      <c r="AI13" s="26">
        <f>AF13*(1+Input!$B$36)</f>
        <v>102228.09706665286</v>
      </c>
      <c r="AJ13" s="26">
        <f>AG13*(1+Input!$B$36)</f>
        <v>102228.09706665286</v>
      </c>
    </row>
    <row r="14" spans="1:36" x14ac:dyDescent="0.25">
      <c r="E14" s="22" t="str">
        <f>Input!A42</f>
        <v>Year 1</v>
      </c>
      <c r="F14" s="22">
        <f>Input!B42</f>
        <v>11702</v>
      </c>
      <c r="G14" t="s">
        <v>96</v>
      </c>
      <c r="J14" s="26">
        <f t="shared" si="1"/>
        <v>105318</v>
      </c>
      <c r="K14" s="26">
        <f t="shared" si="1"/>
        <v>105318</v>
      </c>
      <c r="L14" s="26">
        <f t="shared" si="1"/>
        <v>105318</v>
      </c>
      <c r="M14" s="26">
        <f>J14*(1+Input!$B$36)</f>
        <v>110583.90000000001</v>
      </c>
      <c r="N14" s="26">
        <f>K14*(1+Input!$B$36)</f>
        <v>110583.90000000001</v>
      </c>
      <c r="O14" s="26">
        <f>L14*(1+Input!$B$36)</f>
        <v>110583.90000000001</v>
      </c>
      <c r="P14" s="26">
        <f>M14*(1+Input!$B$36)</f>
        <v>116113.09500000002</v>
      </c>
      <c r="Q14" s="26">
        <f>N14*(1+Input!$B$36)</f>
        <v>116113.09500000002</v>
      </c>
      <c r="R14" s="26">
        <f>O14*(1+Input!$B$36)</f>
        <v>116113.09500000002</v>
      </c>
      <c r="S14" s="26">
        <f>P14*(1+Input!$B$36)</f>
        <v>121918.74975000002</v>
      </c>
      <c r="T14" s="26">
        <f>Q14*(1+Input!$B$36)</f>
        <v>121918.74975000002</v>
      </c>
      <c r="U14" s="26">
        <f>R14*(1+Input!$B$36)</f>
        <v>121918.74975000002</v>
      </c>
      <c r="V14" s="26">
        <f>S14*(1+Input!$B$36)</f>
        <v>128014.68723750002</v>
      </c>
      <c r="W14" s="26">
        <f>T14*(1+Input!$B$36)</f>
        <v>128014.68723750002</v>
      </c>
      <c r="X14" s="26">
        <f>U14*(1+Input!$B$36)</f>
        <v>128014.68723750002</v>
      </c>
      <c r="Y14" s="26">
        <f>V14*(1+Input!$B$36)</f>
        <v>134415.42159937503</v>
      </c>
      <c r="Z14" s="26">
        <f>W14*(1+Input!$B$36)</f>
        <v>134415.42159937503</v>
      </c>
      <c r="AA14" s="26">
        <f>X14*(1+Input!$B$36)</f>
        <v>134415.42159937503</v>
      </c>
      <c r="AB14" s="26">
        <f>Y14*(1+Input!$B$36)</f>
        <v>141136.19267934377</v>
      </c>
      <c r="AC14" s="26">
        <f>Z14*(1+Input!$B$36)</f>
        <v>141136.19267934377</v>
      </c>
      <c r="AD14" s="26">
        <f>AA14*(1+Input!$B$36)</f>
        <v>141136.19267934377</v>
      </c>
      <c r="AE14" s="26">
        <f>AB14*(1+Input!$B$36)</f>
        <v>148193.00231331098</v>
      </c>
      <c r="AF14" s="26">
        <f>AC14*(1+Input!$B$36)</f>
        <v>148193.00231331098</v>
      </c>
      <c r="AG14" s="26">
        <f>AD14*(1+Input!$B$36)</f>
        <v>148193.00231331098</v>
      </c>
      <c r="AH14" s="26">
        <f>AE14*(1+Input!$B$36)</f>
        <v>155602.65242897652</v>
      </c>
      <c r="AI14" s="26">
        <f>AF14*(1+Input!$B$36)</f>
        <v>155602.65242897652</v>
      </c>
      <c r="AJ14" s="26">
        <f>AG14*(1+Input!$B$36)</f>
        <v>155602.65242897652</v>
      </c>
    </row>
    <row r="15" spans="1:36" x14ac:dyDescent="0.25">
      <c r="E15" s="22" t="str">
        <f>Input!A43</f>
        <v>Year 2</v>
      </c>
      <c r="F15" s="22">
        <f>Input!B43</f>
        <v>11702</v>
      </c>
      <c r="G15" t="s">
        <v>96</v>
      </c>
      <c r="J15" s="26">
        <f t="shared" si="1"/>
        <v>105318</v>
      </c>
      <c r="K15" s="26">
        <f t="shared" si="1"/>
        <v>105318</v>
      </c>
      <c r="L15" s="26">
        <f t="shared" si="1"/>
        <v>105318</v>
      </c>
      <c r="M15" s="26">
        <f>J15*(1+Input!$B$36)</f>
        <v>110583.90000000001</v>
      </c>
      <c r="N15" s="26">
        <f>K15*(1+Input!$B$36)</f>
        <v>110583.90000000001</v>
      </c>
      <c r="O15" s="26">
        <f>L15*(1+Input!$B$36)</f>
        <v>110583.90000000001</v>
      </c>
      <c r="P15" s="26">
        <f>M15*(1+Input!$B$36)</f>
        <v>116113.09500000002</v>
      </c>
      <c r="Q15" s="26">
        <f>N15*(1+Input!$B$36)</f>
        <v>116113.09500000002</v>
      </c>
      <c r="R15" s="26">
        <f>O15*(1+Input!$B$36)</f>
        <v>116113.09500000002</v>
      </c>
      <c r="S15" s="26">
        <f>P15*(1+Input!$B$36)</f>
        <v>121918.74975000002</v>
      </c>
      <c r="T15" s="26">
        <f>Q15*(1+Input!$B$36)</f>
        <v>121918.74975000002</v>
      </c>
      <c r="U15" s="26">
        <f>R15*(1+Input!$B$36)</f>
        <v>121918.74975000002</v>
      </c>
      <c r="V15" s="26">
        <f>S15*(1+Input!$B$36)</f>
        <v>128014.68723750002</v>
      </c>
      <c r="W15" s="26">
        <f>T15*(1+Input!$B$36)</f>
        <v>128014.68723750002</v>
      </c>
      <c r="X15" s="26">
        <f>U15*(1+Input!$B$36)</f>
        <v>128014.68723750002</v>
      </c>
      <c r="Y15" s="26">
        <f>V15*(1+Input!$B$36)</f>
        <v>134415.42159937503</v>
      </c>
      <c r="Z15" s="26">
        <f>W15*(1+Input!$B$36)</f>
        <v>134415.42159937503</v>
      </c>
      <c r="AA15" s="26">
        <f>X15*(1+Input!$B$36)</f>
        <v>134415.42159937503</v>
      </c>
      <c r="AB15" s="26">
        <f>Y15*(1+Input!$B$36)</f>
        <v>141136.19267934377</v>
      </c>
      <c r="AC15" s="26">
        <f>Z15*(1+Input!$B$36)</f>
        <v>141136.19267934377</v>
      </c>
      <c r="AD15" s="26">
        <f>AA15*(1+Input!$B$36)</f>
        <v>141136.19267934377</v>
      </c>
      <c r="AE15" s="26">
        <f>AB15*(1+Input!$B$36)</f>
        <v>148193.00231331098</v>
      </c>
      <c r="AF15" s="26">
        <f>AC15*(1+Input!$B$36)</f>
        <v>148193.00231331098</v>
      </c>
      <c r="AG15" s="26">
        <f>AD15*(1+Input!$B$36)</f>
        <v>148193.00231331098</v>
      </c>
      <c r="AH15" s="26">
        <f>AE15*(1+Input!$B$36)</f>
        <v>155602.65242897652</v>
      </c>
      <c r="AI15" s="26">
        <f>AF15*(1+Input!$B$36)</f>
        <v>155602.65242897652</v>
      </c>
      <c r="AJ15" s="26">
        <f>AG15*(1+Input!$B$36)</f>
        <v>155602.65242897652</v>
      </c>
    </row>
    <row r="16" spans="1:36" x14ac:dyDescent="0.25">
      <c r="E16" s="22" t="str">
        <f>Input!A44</f>
        <v>Year 3</v>
      </c>
      <c r="F16" s="22">
        <f>Input!B44</f>
        <v>11702</v>
      </c>
      <c r="G16" t="s">
        <v>96</v>
      </c>
      <c r="J16" s="26">
        <f t="shared" si="1"/>
        <v>105318</v>
      </c>
      <c r="K16" s="26">
        <f t="shared" si="1"/>
        <v>105318</v>
      </c>
      <c r="L16" s="26">
        <f t="shared" si="1"/>
        <v>105318</v>
      </c>
      <c r="M16" s="26">
        <f>J16*(1+Input!$B$36)</f>
        <v>110583.90000000001</v>
      </c>
      <c r="N16" s="26">
        <f>K16*(1+Input!$B$36)</f>
        <v>110583.90000000001</v>
      </c>
      <c r="O16" s="26">
        <f>L16*(1+Input!$B$36)</f>
        <v>110583.90000000001</v>
      </c>
      <c r="P16" s="26">
        <f>M16*(1+Input!$B$36)</f>
        <v>116113.09500000002</v>
      </c>
      <c r="Q16" s="26">
        <f>N16*(1+Input!$B$36)</f>
        <v>116113.09500000002</v>
      </c>
      <c r="R16" s="26">
        <f>O16*(1+Input!$B$36)</f>
        <v>116113.09500000002</v>
      </c>
      <c r="S16" s="26">
        <f>P16*(1+Input!$B$36)</f>
        <v>121918.74975000002</v>
      </c>
      <c r="T16" s="26">
        <f>Q16*(1+Input!$B$36)</f>
        <v>121918.74975000002</v>
      </c>
      <c r="U16" s="26">
        <f>R16*(1+Input!$B$36)</f>
        <v>121918.74975000002</v>
      </c>
      <c r="V16" s="26">
        <f>S16*(1+Input!$B$36)</f>
        <v>128014.68723750002</v>
      </c>
      <c r="W16" s="26">
        <f>T16*(1+Input!$B$36)</f>
        <v>128014.68723750002</v>
      </c>
      <c r="X16" s="26">
        <f>U16*(1+Input!$B$36)</f>
        <v>128014.68723750002</v>
      </c>
      <c r="Y16" s="26">
        <f>V16*(1+Input!$B$36)</f>
        <v>134415.42159937503</v>
      </c>
      <c r="Z16" s="26">
        <f>W16*(1+Input!$B$36)</f>
        <v>134415.42159937503</v>
      </c>
      <c r="AA16" s="26">
        <f>X16*(1+Input!$B$36)</f>
        <v>134415.42159937503</v>
      </c>
      <c r="AB16" s="26">
        <f>Y16*(1+Input!$B$36)</f>
        <v>141136.19267934377</v>
      </c>
      <c r="AC16" s="26">
        <f>Z16*(1+Input!$B$36)</f>
        <v>141136.19267934377</v>
      </c>
      <c r="AD16" s="26">
        <f>AA16*(1+Input!$B$36)</f>
        <v>141136.19267934377</v>
      </c>
      <c r="AE16" s="26">
        <f>AB16*(1+Input!$B$36)</f>
        <v>148193.00231331098</v>
      </c>
      <c r="AF16" s="26">
        <f>AC16*(1+Input!$B$36)</f>
        <v>148193.00231331098</v>
      </c>
      <c r="AG16" s="26">
        <f>AD16*(1+Input!$B$36)</f>
        <v>148193.00231331098</v>
      </c>
      <c r="AH16" s="26">
        <f>AE16*(1+Input!$B$36)</f>
        <v>155602.65242897652</v>
      </c>
      <c r="AI16" s="26">
        <f>AF16*(1+Input!$B$36)</f>
        <v>155602.65242897652</v>
      </c>
      <c r="AJ16" s="26">
        <f>AG16*(1+Input!$B$36)</f>
        <v>155602.65242897652</v>
      </c>
    </row>
    <row r="17" spans="5:37" x14ac:dyDescent="0.25">
      <c r="E17" s="22" t="str">
        <f>Input!A45</f>
        <v>Year 4</v>
      </c>
      <c r="F17" s="22">
        <f>Input!B45</f>
        <v>12428</v>
      </c>
      <c r="G17" t="s">
        <v>96</v>
      </c>
      <c r="J17" s="26">
        <f t="shared" si="1"/>
        <v>111852</v>
      </c>
      <c r="K17" s="26">
        <f t="shared" si="1"/>
        <v>111852</v>
      </c>
      <c r="L17" s="26">
        <f t="shared" si="1"/>
        <v>111852</v>
      </c>
      <c r="M17" s="26">
        <f>J17*(1+Input!$B$36)</f>
        <v>117444.6</v>
      </c>
      <c r="N17" s="26">
        <f>K17*(1+Input!$B$36)</f>
        <v>117444.6</v>
      </c>
      <c r="O17" s="26">
        <f>L17*(1+Input!$B$36)</f>
        <v>117444.6</v>
      </c>
      <c r="P17" s="26">
        <f>M17*(1+Input!$B$36)</f>
        <v>123316.83000000002</v>
      </c>
      <c r="Q17" s="26">
        <f>N17*(1+Input!$B$36)</f>
        <v>123316.83000000002</v>
      </c>
      <c r="R17" s="26">
        <f>O17*(1+Input!$B$36)</f>
        <v>123316.83000000002</v>
      </c>
      <c r="S17" s="26">
        <f>P17*(1+Input!$B$36)</f>
        <v>129482.67150000003</v>
      </c>
      <c r="T17" s="26">
        <f>Q17*(1+Input!$B$36)</f>
        <v>129482.67150000003</v>
      </c>
      <c r="U17" s="26">
        <f>R17*(1+Input!$B$36)</f>
        <v>129482.67150000003</v>
      </c>
      <c r="V17" s="26">
        <f>S17*(1+Input!$B$36)</f>
        <v>135956.80507500004</v>
      </c>
      <c r="W17" s="26">
        <f>T17*(1+Input!$B$36)</f>
        <v>135956.80507500004</v>
      </c>
      <c r="X17" s="26">
        <f>U17*(1+Input!$B$36)</f>
        <v>135956.80507500004</v>
      </c>
      <c r="Y17" s="26">
        <f>V17*(1+Input!$B$36)</f>
        <v>142754.64532875005</v>
      </c>
      <c r="Z17" s="26">
        <f>W17*(1+Input!$B$36)</f>
        <v>142754.64532875005</v>
      </c>
      <c r="AA17" s="26">
        <f>X17*(1+Input!$B$36)</f>
        <v>142754.64532875005</v>
      </c>
      <c r="AB17" s="26">
        <f>Y17*(1+Input!$B$36)</f>
        <v>149892.37759518754</v>
      </c>
      <c r="AC17" s="26">
        <f>Z17*(1+Input!$B$36)</f>
        <v>149892.37759518754</v>
      </c>
      <c r="AD17" s="26">
        <f>AA17*(1+Input!$B$36)</f>
        <v>149892.37759518754</v>
      </c>
      <c r="AE17" s="26">
        <f>AB17*(1+Input!$B$36)</f>
        <v>157386.99647494694</v>
      </c>
      <c r="AF17" s="26">
        <f>AC17*(1+Input!$B$36)</f>
        <v>157386.99647494694</v>
      </c>
      <c r="AG17" s="26">
        <f>AD17*(1+Input!$B$36)</f>
        <v>157386.99647494694</v>
      </c>
      <c r="AH17" s="26">
        <f>AE17*(1+Input!$B$36)</f>
        <v>165256.34629869429</v>
      </c>
      <c r="AI17" s="26">
        <f>AF17*(1+Input!$B$36)</f>
        <v>165256.34629869429</v>
      </c>
      <c r="AJ17" s="26">
        <f>AG17*(1+Input!$B$36)</f>
        <v>165256.34629869429</v>
      </c>
    </row>
    <row r="18" spans="5:37" x14ac:dyDescent="0.25">
      <c r="E18" s="22" t="str">
        <f>Input!A46</f>
        <v>Year 5</v>
      </c>
      <c r="F18" s="22">
        <f>Input!B46</f>
        <v>12428</v>
      </c>
      <c r="G18" t="s">
        <v>96</v>
      </c>
      <c r="J18" s="26">
        <f t="shared" si="1"/>
        <v>111852</v>
      </c>
      <c r="K18" s="26">
        <f t="shared" si="1"/>
        <v>111852</v>
      </c>
      <c r="L18" s="26">
        <f t="shared" si="1"/>
        <v>111852</v>
      </c>
      <c r="M18" s="26">
        <f>J18*(1+Input!$B$36)</f>
        <v>117444.6</v>
      </c>
      <c r="N18" s="26">
        <f>K18*(1+Input!$B$36)</f>
        <v>117444.6</v>
      </c>
      <c r="O18" s="26">
        <f>L18*(1+Input!$B$36)</f>
        <v>117444.6</v>
      </c>
      <c r="P18" s="26">
        <f>M18*(1+Input!$B$36)</f>
        <v>123316.83000000002</v>
      </c>
      <c r="Q18" s="26">
        <f>N18*(1+Input!$B$36)</f>
        <v>123316.83000000002</v>
      </c>
      <c r="R18" s="26">
        <f>O18*(1+Input!$B$36)</f>
        <v>123316.83000000002</v>
      </c>
      <c r="S18" s="26">
        <f>P18*(1+Input!$B$36)</f>
        <v>129482.67150000003</v>
      </c>
      <c r="T18" s="26">
        <f>Q18*(1+Input!$B$36)</f>
        <v>129482.67150000003</v>
      </c>
      <c r="U18" s="26">
        <f>R18*(1+Input!$B$36)</f>
        <v>129482.67150000003</v>
      </c>
      <c r="V18" s="26">
        <f>S18*(1+Input!$B$36)</f>
        <v>135956.80507500004</v>
      </c>
      <c r="W18" s="26">
        <f>T18*(1+Input!$B$36)</f>
        <v>135956.80507500004</v>
      </c>
      <c r="X18" s="26">
        <f>U18*(1+Input!$B$36)</f>
        <v>135956.80507500004</v>
      </c>
      <c r="Y18" s="26">
        <f>V18*(1+Input!$B$36)</f>
        <v>142754.64532875005</v>
      </c>
      <c r="Z18" s="26">
        <f>W18*(1+Input!$B$36)</f>
        <v>142754.64532875005</v>
      </c>
      <c r="AA18" s="26">
        <f>X18*(1+Input!$B$36)</f>
        <v>142754.64532875005</v>
      </c>
      <c r="AB18" s="26">
        <f>Y18*(1+Input!$B$36)</f>
        <v>149892.37759518754</v>
      </c>
      <c r="AC18" s="26">
        <f>Z18*(1+Input!$B$36)</f>
        <v>149892.37759518754</v>
      </c>
      <c r="AD18" s="26">
        <f>AA18*(1+Input!$B$36)</f>
        <v>149892.37759518754</v>
      </c>
      <c r="AE18" s="26">
        <f>AB18*(1+Input!$B$36)</f>
        <v>157386.99647494694</v>
      </c>
      <c r="AF18" s="26">
        <f>AC18*(1+Input!$B$36)</f>
        <v>157386.99647494694</v>
      </c>
      <c r="AG18" s="26">
        <f>AD18*(1+Input!$B$36)</f>
        <v>157386.99647494694</v>
      </c>
      <c r="AH18" s="26">
        <f>AE18*(1+Input!$B$36)</f>
        <v>165256.34629869429</v>
      </c>
      <c r="AI18" s="26">
        <f>AF18*(1+Input!$B$36)</f>
        <v>165256.34629869429</v>
      </c>
      <c r="AJ18" s="26">
        <f>AG18*(1+Input!$B$36)</f>
        <v>165256.34629869429</v>
      </c>
    </row>
    <row r="19" spans="5:37" x14ac:dyDescent="0.25">
      <c r="E19" s="22" t="str">
        <f>Input!A47</f>
        <v>Year 6</v>
      </c>
      <c r="F19" s="22">
        <f>Input!B47</f>
        <v>12428</v>
      </c>
      <c r="G19" t="s">
        <v>96</v>
      </c>
      <c r="J19" s="26">
        <f t="shared" si="1"/>
        <v>111852</v>
      </c>
      <c r="K19" s="26">
        <f t="shared" si="1"/>
        <v>111852</v>
      </c>
      <c r="L19" s="26">
        <f t="shared" si="1"/>
        <v>111852</v>
      </c>
      <c r="M19" s="26">
        <f>J19*(1+Input!$B$36)</f>
        <v>117444.6</v>
      </c>
      <c r="N19" s="26">
        <f>K19*(1+Input!$B$36)</f>
        <v>117444.6</v>
      </c>
      <c r="O19" s="26">
        <f>L19*(1+Input!$B$36)</f>
        <v>117444.6</v>
      </c>
      <c r="P19" s="26">
        <f>M19*(1+Input!$B$36)</f>
        <v>123316.83000000002</v>
      </c>
      <c r="Q19" s="26">
        <f>N19*(1+Input!$B$36)</f>
        <v>123316.83000000002</v>
      </c>
      <c r="R19" s="26">
        <f>O19*(1+Input!$B$36)</f>
        <v>123316.83000000002</v>
      </c>
      <c r="S19" s="26">
        <f>P19*(1+Input!$B$36)</f>
        <v>129482.67150000003</v>
      </c>
      <c r="T19" s="26">
        <f>Q19*(1+Input!$B$36)</f>
        <v>129482.67150000003</v>
      </c>
      <c r="U19" s="26">
        <f>R19*(1+Input!$B$36)</f>
        <v>129482.67150000003</v>
      </c>
      <c r="V19" s="26">
        <f>S19*(1+Input!$B$36)</f>
        <v>135956.80507500004</v>
      </c>
      <c r="W19" s="26">
        <f>T19*(1+Input!$B$36)</f>
        <v>135956.80507500004</v>
      </c>
      <c r="X19" s="26">
        <f>U19*(1+Input!$B$36)</f>
        <v>135956.80507500004</v>
      </c>
      <c r="Y19" s="26">
        <f>V19*(1+Input!$B$36)</f>
        <v>142754.64532875005</v>
      </c>
      <c r="Z19" s="26">
        <f>W19*(1+Input!$B$36)</f>
        <v>142754.64532875005</v>
      </c>
      <c r="AA19" s="26">
        <f>X19*(1+Input!$B$36)</f>
        <v>142754.64532875005</v>
      </c>
      <c r="AB19" s="26">
        <f>Y19*(1+Input!$B$36)</f>
        <v>149892.37759518754</v>
      </c>
      <c r="AC19" s="26">
        <f>Z19*(1+Input!$B$36)</f>
        <v>149892.37759518754</v>
      </c>
      <c r="AD19" s="26">
        <f>AA19*(1+Input!$B$36)</f>
        <v>149892.37759518754</v>
      </c>
      <c r="AE19" s="26">
        <f>AB19*(1+Input!$B$36)</f>
        <v>157386.99647494694</v>
      </c>
      <c r="AF19" s="26">
        <f>AC19*(1+Input!$B$36)</f>
        <v>157386.99647494694</v>
      </c>
      <c r="AG19" s="26">
        <f>AD19*(1+Input!$B$36)</f>
        <v>157386.99647494694</v>
      </c>
      <c r="AH19" s="26">
        <f>AE19*(1+Input!$B$36)</f>
        <v>165256.34629869429</v>
      </c>
      <c r="AI19" s="26">
        <f>AF19*(1+Input!$B$36)</f>
        <v>165256.34629869429</v>
      </c>
      <c r="AJ19" s="26">
        <f>AG19*(1+Input!$B$36)</f>
        <v>165256.34629869429</v>
      </c>
    </row>
    <row r="20" spans="5:37" x14ac:dyDescent="0.25">
      <c r="E20" s="22" t="str">
        <f>Input!A48</f>
        <v>Year 7</v>
      </c>
      <c r="F20" s="22">
        <f>Input!B48</f>
        <v>14518</v>
      </c>
      <c r="G20" t="s">
        <v>96</v>
      </c>
      <c r="J20" s="26">
        <f t="shared" si="1"/>
        <v>130662</v>
      </c>
      <c r="K20" s="26">
        <f t="shared" si="1"/>
        <v>130662</v>
      </c>
      <c r="L20" s="26">
        <f t="shared" si="1"/>
        <v>130662</v>
      </c>
      <c r="M20" s="26">
        <f>J20*(1+Input!$B$36)</f>
        <v>137195.1</v>
      </c>
      <c r="N20" s="26">
        <f>K20*(1+Input!$B$36)</f>
        <v>137195.1</v>
      </c>
      <c r="O20" s="26">
        <f>L20*(1+Input!$B$36)</f>
        <v>137195.1</v>
      </c>
      <c r="P20" s="26">
        <f>M20*(1+Input!$B$36)</f>
        <v>144054.85500000001</v>
      </c>
      <c r="Q20" s="26">
        <f>N20*(1+Input!$B$36)</f>
        <v>144054.85500000001</v>
      </c>
      <c r="R20" s="26">
        <f>O20*(1+Input!$B$36)</f>
        <v>144054.85500000001</v>
      </c>
      <c r="S20" s="26">
        <f>P20*(1+Input!$B$36)</f>
        <v>151257.59775000002</v>
      </c>
      <c r="T20" s="26">
        <f>Q20*(1+Input!$B$36)</f>
        <v>151257.59775000002</v>
      </c>
      <c r="U20" s="26">
        <f>R20*(1+Input!$B$36)</f>
        <v>151257.59775000002</v>
      </c>
      <c r="V20" s="26">
        <f>S20*(1+Input!$B$36)</f>
        <v>158820.47763750004</v>
      </c>
      <c r="W20" s="26">
        <f>T20*(1+Input!$B$36)</f>
        <v>158820.47763750004</v>
      </c>
      <c r="X20" s="26">
        <f>U20*(1+Input!$B$36)</f>
        <v>158820.47763750004</v>
      </c>
      <c r="Y20" s="26">
        <f>V20*(1+Input!$B$36)</f>
        <v>166761.50151937504</v>
      </c>
      <c r="Z20" s="26">
        <f>W20*(1+Input!$B$36)</f>
        <v>166761.50151937504</v>
      </c>
      <c r="AA20" s="26">
        <f>X20*(1+Input!$B$36)</f>
        <v>166761.50151937504</v>
      </c>
      <c r="AB20" s="26">
        <f>Y20*(1+Input!$B$36)</f>
        <v>175099.57659534379</v>
      </c>
      <c r="AC20" s="26">
        <f>Z20*(1+Input!$B$36)</f>
        <v>175099.57659534379</v>
      </c>
      <c r="AD20" s="26">
        <f>AA20*(1+Input!$B$36)</f>
        <v>175099.57659534379</v>
      </c>
      <c r="AE20" s="26">
        <f>AB20*(1+Input!$B$36)</f>
        <v>183854.555425111</v>
      </c>
      <c r="AF20" s="26">
        <f>AC20*(1+Input!$B$36)</f>
        <v>183854.555425111</v>
      </c>
      <c r="AG20" s="26">
        <f>AD20*(1+Input!$B$36)</f>
        <v>183854.555425111</v>
      </c>
      <c r="AH20" s="26">
        <f>AE20*(1+Input!$B$36)</f>
        <v>193047.28319636657</v>
      </c>
      <c r="AI20" s="26">
        <f>AF20*(1+Input!$B$36)</f>
        <v>193047.28319636657</v>
      </c>
      <c r="AJ20" s="26">
        <f>AG20*(1+Input!$B$36)</f>
        <v>193047.28319636657</v>
      </c>
    </row>
    <row r="21" spans="5:37" x14ac:dyDescent="0.25">
      <c r="E21" s="22" t="str">
        <f>Input!A49</f>
        <v>Year 8</v>
      </c>
      <c r="F21" s="22">
        <f>Input!B49</f>
        <v>14518</v>
      </c>
      <c r="G21" t="s">
        <v>96</v>
      </c>
      <c r="J21" s="26">
        <f t="shared" si="1"/>
        <v>130662</v>
      </c>
      <c r="K21" s="26">
        <f t="shared" si="1"/>
        <v>130662</v>
      </c>
      <c r="L21" s="26">
        <f t="shared" si="1"/>
        <v>130662</v>
      </c>
      <c r="M21" s="26">
        <f>J21*(1+Input!$B$36)</f>
        <v>137195.1</v>
      </c>
      <c r="N21" s="26">
        <f>K21*(1+Input!$B$36)</f>
        <v>137195.1</v>
      </c>
      <c r="O21" s="26">
        <f>L21*(1+Input!$B$36)</f>
        <v>137195.1</v>
      </c>
      <c r="P21" s="26">
        <f>M21*(1+Input!$B$36)</f>
        <v>144054.85500000001</v>
      </c>
      <c r="Q21" s="26">
        <f>N21*(1+Input!$B$36)</f>
        <v>144054.85500000001</v>
      </c>
      <c r="R21" s="26">
        <f>O21*(1+Input!$B$36)</f>
        <v>144054.85500000001</v>
      </c>
      <c r="S21" s="26">
        <f>P21*(1+Input!$B$36)</f>
        <v>151257.59775000002</v>
      </c>
      <c r="T21" s="26">
        <f>Q21*(1+Input!$B$36)</f>
        <v>151257.59775000002</v>
      </c>
      <c r="U21" s="26">
        <f>R21*(1+Input!$B$36)</f>
        <v>151257.59775000002</v>
      </c>
      <c r="V21" s="26">
        <f>S21*(1+Input!$B$36)</f>
        <v>158820.47763750004</v>
      </c>
      <c r="W21" s="26">
        <f>T21*(1+Input!$B$36)</f>
        <v>158820.47763750004</v>
      </c>
      <c r="X21" s="26">
        <f>U21*(1+Input!$B$36)</f>
        <v>158820.47763750004</v>
      </c>
      <c r="Y21" s="26">
        <f>V21*(1+Input!$B$36)</f>
        <v>166761.50151937504</v>
      </c>
      <c r="Z21" s="26">
        <f>W21*(1+Input!$B$36)</f>
        <v>166761.50151937504</v>
      </c>
      <c r="AA21" s="26">
        <f>X21*(1+Input!$B$36)</f>
        <v>166761.50151937504</v>
      </c>
      <c r="AB21" s="26">
        <f>Y21*(1+Input!$B$36)</f>
        <v>175099.57659534379</v>
      </c>
      <c r="AC21" s="26">
        <f>Z21*(1+Input!$B$36)</f>
        <v>175099.57659534379</v>
      </c>
      <c r="AD21" s="26">
        <f>AA21*(1+Input!$B$36)</f>
        <v>175099.57659534379</v>
      </c>
      <c r="AE21" s="26">
        <f>AB21*(1+Input!$B$36)</f>
        <v>183854.555425111</v>
      </c>
      <c r="AF21" s="26">
        <f>AC21*(1+Input!$B$36)</f>
        <v>183854.555425111</v>
      </c>
      <c r="AG21" s="26">
        <f>AD21*(1+Input!$B$36)</f>
        <v>183854.555425111</v>
      </c>
      <c r="AH21" s="26">
        <f>AE21*(1+Input!$B$36)</f>
        <v>193047.28319636657</v>
      </c>
      <c r="AI21" s="26">
        <f>AF21*(1+Input!$B$36)</f>
        <v>193047.28319636657</v>
      </c>
      <c r="AJ21" s="26">
        <f>AG21*(1+Input!$B$36)</f>
        <v>193047.28319636657</v>
      </c>
    </row>
    <row r="22" spans="5:37" x14ac:dyDescent="0.25">
      <c r="E22" s="22" t="str">
        <f>Input!A50</f>
        <v>Year 9</v>
      </c>
      <c r="F22" s="22">
        <f>Input!B50</f>
        <v>14518</v>
      </c>
      <c r="G22" t="s">
        <v>96</v>
      </c>
      <c r="J22" s="26">
        <f t="shared" si="1"/>
        <v>130662</v>
      </c>
      <c r="K22" s="26">
        <f t="shared" si="1"/>
        <v>130662</v>
      </c>
      <c r="L22" s="26">
        <f t="shared" si="1"/>
        <v>130662</v>
      </c>
      <c r="M22" s="26">
        <f>J22*(1+Input!$B$36)</f>
        <v>137195.1</v>
      </c>
      <c r="N22" s="26">
        <f>K22*(1+Input!$B$36)</f>
        <v>137195.1</v>
      </c>
      <c r="O22" s="26">
        <f>L22*(1+Input!$B$36)</f>
        <v>137195.1</v>
      </c>
      <c r="P22" s="26">
        <f>M22*(1+Input!$B$36)</f>
        <v>144054.85500000001</v>
      </c>
      <c r="Q22" s="26">
        <f>N22*(1+Input!$B$36)</f>
        <v>144054.85500000001</v>
      </c>
      <c r="R22" s="26">
        <f>O22*(1+Input!$B$36)</f>
        <v>144054.85500000001</v>
      </c>
      <c r="S22" s="26">
        <f>P22*(1+Input!$B$36)</f>
        <v>151257.59775000002</v>
      </c>
      <c r="T22" s="26">
        <f>Q22*(1+Input!$B$36)</f>
        <v>151257.59775000002</v>
      </c>
      <c r="U22" s="26">
        <f>R22*(1+Input!$B$36)</f>
        <v>151257.59775000002</v>
      </c>
      <c r="V22" s="26">
        <f>S22*(1+Input!$B$36)</f>
        <v>158820.47763750004</v>
      </c>
      <c r="W22" s="26">
        <f>T22*(1+Input!$B$36)</f>
        <v>158820.47763750004</v>
      </c>
      <c r="X22" s="26">
        <f>U22*(1+Input!$B$36)</f>
        <v>158820.47763750004</v>
      </c>
      <c r="Y22" s="26">
        <f>V22*(1+Input!$B$36)</f>
        <v>166761.50151937504</v>
      </c>
      <c r="Z22" s="26">
        <f>W22*(1+Input!$B$36)</f>
        <v>166761.50151937504</v>
      </c>
      <c r="AA22" s="26">
        <f>X22*(1+Input!$B$36)</f>
        <v>166761.50151937504</v>
      </c>
      <c r="AB22" s="26">
        <f>Y22*(1+Input!$B$36)</f>
        <v>175099.57659534379</v>
      </c>
      <c r="AC22" s="26">
        <f>Z22*(1+Input!$B$36)</f>
        <v>175099.57659534379</v>
      </c>
      <c r="AD22" s="26">
        <f>AA22*(1+Input!$B$36)</f>
        <v>175099.57659534379</v>
      </c>
      <c r="AE22" s="26">
        <f>AB22*(1+Input!$B$36)</f>
        <v>183854.555425111</v>
      </c>
      <c r="AF22" s="26">
        <f>AC22*(1+Input!$B$36)</f>
        <v>183854.555425111</v>
      </c>
      <c r="AG22" s="26">
        <f>AD22*(1+Input!$B$36)</f>
        <v>183854.555425111</v>
      </c>
      <c r="AH22" s="26">
        <f>AE22*(1+Input!$B$36)</f>
        <v>193047.28319636657</v>
      </c>
      <c r="AI22" s="26">
        <f>AF22*(1+Input!$B$36)</f>
        <v>193047.28319636657</v>
      </c>
      <c r="AJ22" s="26">
        <f>AG22*(1+Input!$B$36)</f>
        <v>193047.28319636657</v>
      </c>
    </row>
    <row r="23" spans="5:37" x14ac:dyDescent="0.25">
      <c r="E23" s="22" t="str">
        <f>Input!A51</f>
        <v>Year 10</v>
      </c>
      <c r="F23" s="22">
        <f>Input!B51</f>
        <v>15829</v>
      </c>
      <c r="G23" t="s">
        <v>96</v>
      </c>
      <c r="J23" s="26">
        <f t="shared" si="1"/>
        <v>142461</v>
      </c>
      <c r="K23" s="26">
        <f t="shared" si="1"/>
        <v>142461</v>
      </c>
      <c r="L23" s="26">
        <f t="shared" si="1"/>
        <v>142461</v>
      </c>
      <c r="M23" s="26">
        <f>J23*(1+Input!$B$36)</f>
        <v>149584.05000000002</v>
      </c>
      <c r="N23" s="26">
        <f>K23*(1+Input!$B$36)</f>
        <v>149584.05000000002</v>
      </c>
      <c r="O23" s="26">
        <f>L23*(1+Input!$B$36)</f>
        <v>149584.05000000002</v>
      </c>
      <c r="P23" s="26">
        <f>M23*(1+Input!$B$36)</f>
        <v>157063.25250000003</v>
      </c>
      <c r="Q23" s="26">
        <f>N23*(1+Input!$B$36)</f>
        <v>157063.25250000003</v>
      </c>
      <c r="R23" s="26">
        <f>O23*(1+Input!$B$36)</f>
        <v>157063.25250000003</v>
      </c>
      <c r="S23" s="26">
        <f>P23*(1+Input!$B$36)</f>
        <v>164916.41512500003</v>
      </c>
      <c r="T23" s="26">
        <f>Q23*(1+Input!$B$36)</f>
        <v>164916.41512500003</v>
      </c>
      <c r="U23" s="26">
        <f>R23*(1+Input!$B$36)</f>
        <v>164916.41512500003</v>
      </c>
      <c r="V23" s="26">
        <f>S23*(1+Input!$B$36)</f>
        <v>173162.23588125003</v>
      </c>
      <c r="W23" s="26">
        <f>T23*(1+Input!$B$36)</f>
        <v>173162.23588125003</v>
      </c>
      <c r="X23" s="26">
        <f>U23*(1+Input!$B$36)</f>
        <v>173162.23588125003</v>
      </c>
      <c r="Y23" s="26">
        <f>V23*(1+Input!$B$36)</f>
        <v>181820.34767531254</v>
      </c>
      <c r="Z23" s="26">
        <f>W23*(1+Input!$B$36)</f>
        <v>181820.34767531254</v>
      </c>
      <c r="AA23" s="26">
        <f>X23*(1+Input!$B$36)</f>
        <v>181820.34767531254</v>
      </c>
      <c r="AB23" s="26">
        <f>Y23*(1+Input!$B$36)</f>
        <v>190911.36505907818</v>
      </c>
      <c r="AC23" s="26">
        <f>Z23*(1+Input!$B$36)</f>
        <v>190911.36505907818</v>
      </c>
      <c r="AD23" s="26">
        <f>AA23*(1+Input!$B$36)</f>
        <v>190911.36505907818</v>
      </c>
      <c r="AE23" s="26">
        <f>AB23*(1+Input!$B$36)</f>
        <v>200456.93331203208</v>
      </c>
      <c r="AF23" s="26">
        <f>AC23*(1+Input!$B$36)</f>
        <v>200456.93331203208</v>
      </c>
      <c r="AG23" s="26">
        <f>AD23*(1+Input!$B$36)</f>
        <v>200456.93331203208</v>
      </c>
      <c r="AH23" s="26">
        <f>AE23*(1+Input!$B$36)</f>
        <v>210479.77997763371</v>
      </c>
      <c r="AI23" s="26">
        <f>AF23*(1+Input!$B$36)</f>
        <v>210479.77997763371</v>
      </c>
      <c r="AJ23" s="26">
        <f>AG23*(1+Input!$B$36)</f>
        <v>210479.77997763371</v>
      </c>
    </row>
    <row r="24" spans="5:37" x14ac:dyDescent="0.25">
      <c r="E24" s="22" t="str">
        <f>Input!A52</f>
        <v>Year 11</v>
      </c>
      <c r="F24" s="22">
        <f>Input!B52</f>
        <v>15829</v>
      </c>
      <c r="G24" t="s">
        <v>96</v>
      </c>
      <c r="J24" s="26">
        <f t="shared" si="1"/>
        <v>142461</v>
      </c>
      <c r="K24" s="26">
        <f t="shared" si="1"/>
        <v>142461</v>
      </c>
      <c r="L24" s="26">
        <f t="shared" si="1"/>
        <v>142461</v>
      </c>
      <c r="M24" s="26">
        <f>J24*(1+Input!$B$36)</f>
        <v>149584.05000000002</v>
      </c>
      <c r="N24" s="26">
        <f>K24*(1+Input!$B$36)</f>
        <v>149584.05000000002</v>
      </c>
      <c r="O24" s="26">
        <f>L24*(1+Input!$B$36)</f>
        <v>149584.05000000002</v>
      </c>
      <c r="P24" s="26">
        <f>M24*(1+Input!$B$36)</f>
        <v>157063.25250000003</v>
      </c>
      <c r="Q24" s="26">
        <f>N24*(1+Input!$B$36)</f>
        <v>157063.25250000003</v>
      </c>
      <c r="R24" s="26">
        <f>O24*(1+Input!$B$36)</f>
        <v>157063.25250000003</v>
      </c>
      <c r="S24" s="26">
        <f>P24*(1+Input!$B$36)</f>
        <v>164916.41512500003</v>
      </c>
      <c r="T24" s="26">
        <f>Q24*(1+Input!$B$36)</f>
        <v>164916.41512500003</v>
      </c>
      <c r="U24" s="26">
        <f>R24*(1+Input!$B$36)</f>
        <v>164916.41512500003</v>
      </c>
      <c r="V24" s="26">
        <f>S24*(1+Input!$B$36)</f>
        <v>173162.23588125003</v>
      </c>
      <c r="W24" s="26">
        <f>T24*(1+Input!$B$36)</f>
        <v>173162.23588125003</v>
      </c>
      <c r="X24" s="26">
        <f>U24*(1+Input!$B$36)</f>
        <v>173162.23588125003</v>
      </c>
      <c r="Y24" s="26">
        <f>V24*(1+Input!$B$36)</f>
        <v>181820.34767531254</v>
      </c>
      <c r="Z24" s="26">
        <f>W24*(1+Input!$B$36)</f>
        <v>181820.34767531254</v>
      </c>
      <c r="AA24" s="26">
        <f>X24*(1+Input!$B$36)</f>
        <v>181820.34767531254</v>
      </c>
      <c r="AB24" s="26">
        <f>Y24*(1+Input!$B$36)</f>
        <v>190911.36505907818</v>
      </c>
      <c r="AC24" s="26">
        <f>Z24*(1+Input!$B$36)</f>
        <v>190911.36505907818</v>
      </c>
      <c r="AD24" s="26">
        <f>AA24*(1+Input!$B$36)</f>
        <v>190911.36505907818</v>
      </c>
      <c r="AE24" s="26">
        <f>AB24*(1+Input!$B$36)</f>
        <v>200456.93331203208</v>
      </c>
      <c r="AF24" s="26">
        <f>AC24*(1+Input!$B$36)</f>
        <v>200456.93331203208</v>
      </c>
      <c r="AG24" s="26">
        <f>AD24*(1+Input!$B$36)</f>
        <v>200456.93331203208</v>
      </c>
      <c r="AH24" s="26">
        <f>AE24*(1+Input!$B$36)</f>
        <v>210479.77997763371</v>
      </c>
      <c r="AI24" s="26">
        <f>AF24*(1+Input!$B$36)</f>
        <v>210479.77997763371</v>
      </c>
      <c r="AJ24" s="26">
        <f>AG24*(1+Input!$B$36)</f>
        <v>210479.77997763371</v>
      </c>
    </row>
    <row r="25" spans="5:37" x14ac:dyDescent="0.25">
      <c r="E25" s="22" t="str">
        <f>Input!A53</f>
        <v>Year 12</v>
      </c>
      <c r="F25" s="22">
        <f>Input!B53</f>
        <v>15829</v>
      </c>
      <c r="G25" t="s">
        <v>96</v>
      </c>
      <c r="J25" s="26">
        <f t="shared" si="1"/>
        <v>142461</v>
      </c>
      <c r="K25" s="26">
        <f t="shared" si="1"/>
        <v>142461</v>
      </c>
      <c r="L25" s="26">
        <f t="shared" si="1"/>
        <v>142461</v>
      </c>
      <c r="M25" s="26">
        <f>J25*(1+Input!$B$36)</f>
        <v>149584.05000000002</v>
      </c>
      <c r="N25" s="26">
        <f>K25*(1+Input!$B$36)</f>
        <v>149584.05000000002</v>
      </c>
      <c r="O25" s="26">
        <f>L25*(1+Input!$B$36)</f>
        <v>149584.05000000002</v>
      </c>
      <c r="P25" s="26">
        <f>M25*(1+Input!$B$36)</f>
        <v>157063.25250000003</v>
      </c>
      <c r="Q25" s="26">
        <f>N25*(1+Input!$B$36)</f>
        <v>157063.25250000003</v>
      </c>
      <c r="R25" s="26">
        <f>O25*(1+Input!$B$36)</f>
        <v>157063.25250000003</v>
      </c>
      <c r="S25" s="26">
        <f>P25*(1+Input!$B$36)</f>
        <v>164916.41512500003</v>
      </c>
      <c r="T25" s="26">
        <f>Q25*(1+Input!$B$36)</f>
        <v>164916.41512500003</v>
      </c>
      <c r="U25" s="26">
        <f>R25*(1+Input!$B$36)</f>
        <v>164916.41512500003</v>
      </c>
      <c r="V25" s="26">
        <f>S25*(1+Input!$B$36)</f>
        <v>173162.23588125003</v>
      </c>
      <c r="W25" s="26">
        <f>T25*(1+Input!$B$36)</f>
        <v>173162.23588125003</v>
      </c>
      <c r="X25" s="26">
        <f>U25*(1+Input!$B$36)</f>
        <v>173162.23588125003</v>
      </c>
      <c r="Y25" s="26">
        <f>V25*(1+Input!$B$36)</f>
        <v>181820.34767531254</v>
      </c>
      <c r="Z25" s="26">
        <f>W25*(1+Input!$B$36)</f>
        <v>181820.34767531254</v>
      </c>
      <c r="AA25" s="26">
        <f>X25*(1+Input!$B$36)</f>
        <v>181820.34767531254</v>
      </c>
      <c r="AB25" s="26">
        <f>Y25*(1+Input!$B$36)</f>
        <v>190911.36505907818</v>
      </c>
      <c r="AC25" s="26">
        <f>Z25*(1+Input!$B$36)</f>
        <v>190911.36505907818</v>
      </c>
      <c r="AD25" s="26">
        <f>AA25*(1+Input!$B$36)</f>
        <v>190911.36505907818</v>
      </c>
      <c r="AE25" s="26">
        <f>AB25*(1+Input!$B$36)</f>
        <v>200456.93331203208</v>
      </c>
      <c r="AF25" s="26">
        <f>AC25*(1+Input!$B$36)</f>
        <v>200456.93331203208</v>
      </c>
      <c r="AG25" s="26">
        <f>AD25*(1+Input!$B$36)</f>
        <v>200456.93331203208</v>
      </c>
      <c r="AH25" s="26">
        <f>AE25*(1+Input!$B$36)</f>
        <v>210479.77997763371</v>
      </c>
      <c r="AI25" s="26">
        <f>AF25*(1+Input!$B$36)</f>
        <v>210479.77997763371</v>
      </c>
      <c r="AJ25" s="26">
        <f>AG25*(1+Input!$B$36)</f>
        <v>210479.77997763371</v>
      </c>
    </row>
    <row r="26" spans="5:37" x14ac:dyDescent="0.25">
      <c r="E26" s="22" t="str">
        <f>Input!A54</f>
        <v>Year 13</v>
      </c>
      <c r="F26" s="22">
        <f>Input!B54</f>
        <v>15829</v>
      </c>
      <c r="G26" t="s">
        <v>96</v>
      </c>
      <c r="J26" s="26">
        <f t="shared" si="1"/>
        <v>142461</v>
      </c>
      <c r="K26" s="26">
        <f t="shared" si="1"/>
        <v>142461</v>
      </c>
      <c r="L26" s="26">
        <f t="shared" si="1"/>
        <v>142461</v>
      </c>
      <c r="M26" s="26">
        <f>J26*(1+Input!$B$36)</f>
        <v>149584.05000000002</v>
      </c>
      <c r="N26" s="26">
        <f>K26*(1+Input!$B$36)</f>
        <v>149584.05000000002</v>
      </c>
      <c r="O26" s="26">
        <f>L26*(1+Input!$B$36)</f>
        <v>149584.05000000002</v>
      </c>
      <c r="P26" s="26">
        <f>M26*(1+Input!$B$36)</f>
        <v>157063.25250000003</v>
      </c>
      <c r="Q26" s="26">
        <f>N26*(1+Input!$B$36)</f>
        <v>157063.25250000003</v>
      </c>
      <c r="R26" s="26">
        <f>O26*(1+Input!$B$36)</f>
        <v>157063.25250000003</v>
      </c>
      <c r="S26" s="26">
        <f>P26*(1+Input!$B$36)</f>
        <v>164916.41512500003</v>
      </c>
      <c r="T26" s="26">
        <f>Q26*(1+Input!$B$36)</f>
        <v>164916.41512500003</v>
      </c>
      <c r="U26" s="26">
        <f>R26*(1+Input!$B$36)</f>
        <v>164916.41512500003</v>
      </c>
      <c r="V26" s="26">
        <f>S26*(1+Input!$B$36)</f>
        <v>173162.23588125003</v>
      </c>
      <c r="W26" s="26">
        <f>T26*(1+Input!$B$36)</f>
        <v>173162.23588125003</v>
      </c>
      <c r="X26" s="26">
        <f>U26*(1+Input!$B$36)</f>
        <v>173162.23588125003</v>
      </c>
      <c r="Y26" s="26">
        <f>V26*(1+Input!$B$36)</f>
        <v>181820.34767531254</v>
      </c>
      <c r="Z26" s="26">
        <f>W26*(1+Input!$B$36)</f>
        <v>181820.34767531254</v>
      </c>
      <c r="AA26" s="26">
        <f>X26*(1+Input!$B$36)</f>
        <v>181820.34767531254</v>
      </c>
      <c r="AB26" s="26">
        <f>Y26*(1+Input!$B$36)</f>
        <v>190911.36505907818</v>
      </c>
      <c r="AC26" s="26">
        <f>Z26*(1+Input!$B$36)</f>
        <v>190911.36505907818</v>
      </c>
      <c r="AD26" s="26">
        <f>AA26*(1+Input!$B$36)</f>
        <v>190911.36505907818</v>
      </c>
      <c r="AE26" s="26">
        <f>AB26*(1+Input!$B$36)</f>
        <v>200456.93331203208</v>
      </c>
      <c r="AF26" s="26">
        <f>AC26*(1+Input!$B$36)</f>
        <v>200456.93331203208</v>
      </c>
      <c r="AG26" s="26">
        <f>AD26*(1+Input!$B$36)</f>
        <v>200456.93331203208</v>
      </c>
      <c r="AH26" s="26">
        <f>AE26*(1+Input!$B$36)</f>
        <v>210479.77997763371</v>
      </c>
      <c r="AI26" s="26">
        <f>AF26*(1+Input!$B$36)</f>
        <v>210479.77997763371</v>
      </c>
      <c r="AJ26" s="26">
        <f>AG26*(1+Input!$B$36)</f>
        <v>210479.77997763371</v>
      </c>
    </row>
    <row r="27" spans="5:37" x14ac:dyDescent="0.25">
      <c r="E27" s="22" t="str">
        <f>Input!A55</f>
        <v>Year 14</v>
      </c>
      <c r="F27" s="22">
        <f>Input!B55</f>
        <v>15829</v>
      </c>
      <c r="G27" t="s">
        <v>96</v>
      </c>
      <c r="J27" s="26">
        <f t="shared" si="1"/>
        <v>142461</v>
      </c>
      <c r="K27" s="26">
        <f t="shared" si="1"/>
        <v>142461</v>
      </c>
      <c r="L27" s="26">
        <f t="shared" si="1"/>
        <v>142461</v>
      </c>
      <c r="M27" s="26">
        <f>J27*(1+Input!$B$36)</f>
        <v>149584.05000000002</v>
      </c>
      <c r="N27" s="26">
        <f>K27*(1+Input!$B$36)</f>
        <v>149584.05000000002</v>
      </c>
      <c r="O27" s="26">
        <f>L27*(1+Input!$B$36)</f>
        <v>149584.05000000002</v>
      </c>
      <c r="P27" s="26">
        <f>M27*(1+Input!$B$36)</f>
        <v>157063.25250000003</v>
      </c>
      <c r="Q27" s="26">
        <f>N27*(1+Input!$B$36)</f>
        <v>157063.25250000003</v>
      </c>
      <c r="R27" s="26">
        <f>O27*(1+Input!$B$36)</f>
        <v>157063.25250000003</v>
      </c>
      <c r="S27" s="26">
        <f>P27*(1+Input!$B$36)</f>
        <v>164916.41512500003</v>
      </c>
      <c r="T27" s="26">
        <f>Q27*(1+Input!$B$36)</f>
        <v>164916.41512500003</v>
      </c>
      <c r="U27" s="26">
        <f>R27*(1+Input!$B$36)</f>
        <v>164916.41512500003</v>
      </c>
      <c r="V27" s="26">
        <f>S27*(1+Input!$B$36)</f>
        <v>173162.23588125003</v>
      </c>
      <c r="W27" s="26">
        <f>T27*(1+Input!$B$36)</f>
        <v>173162.23588125003</v>
      </c>
      <c r="X27" s="26">
        <f>U27*(1+Input!$B$36)</f>
        <v>173162.23588125003</v>
      </c>
      <c r="Y27" s="26">
        <f>V27*(1+Input!$B$36)</f>
        <v>181820.34767531254</v>
      </c>
      <c r="Z27" s="26">
        <f>W27*(1+Input!$B$36)</f>
        <v>181820.34767531254</v>
      </c>
      <c r="AA27" s="26">
        <f>X27*(1+Input!$B$36)</f>
        <v>181820.34767531254</v>
      </c>
      <c r="AB27" s="26">
        <f>Y27*(1+Input!$B$36)</f>
        <v>190911.36505907818</v>
      </c>
      <c r="AC27" s="26">
        <f>Z27*(1+Input!$B$36)</f>
        <v>190911.36505907818</v>
      </c>
      <c r="AD27" s="26">
        <f>AA27*(1+Input!$B$36)</f>
        <v>190911.36505907818</v>
      </c>
      <c r="AE27" s="26">
        <f>AB27*(1+Input!$B$36)</f>
        <v>200456.93331203208</v>
      </c>
      <c r="AF27" s="26">
        <f>AC27*(1+Input!$B$36)</f>
        <v>200456.93331203208</v>
      </c>
      <c r="AG27" s="26">
        <f>AD27*(1+Input!$B$36)</f>
        <v>200456.93331203208</v>
      </c>
      <c r="AH27" s="26">
        <f>AE27*(1+Input!$B$36)</f>
        <v>210479.77997763371</v>
      </c>
      <c r="AI27" s="26">
        <f>AF27*(1+Input!$B$36)</f>
        <v>210479.77997763371</v>
      </c>
      <c r="AJ27" s="26">
        <f>AG27*(1+Input!$B$36)</f>
        <v>210479.77997763371</v>
      </c>
    </row>
    <row r="28" spans="5:37" s="20" customFormat="1" x14ac:dyDescent="0.25">
      <c r="E28" s="20" t="s">
        <v>99</v>
      </c>
      <c r="J28" s="75">
        <f>SUM(J9:J27)</f>
        <v>2101761</v>
      </c>
      <c r="K28" s="75">
        <f t="shared" ref="K28:AJ28" si="2">SUM(K9:K27)</f>
        <v>2101761</v>
      </c>
      <c r="L28" s="75">
        <f t="shared" si="2"/>
        <v>2101761</v>
      </c>
      <c r="M28" s="75">
        <f t="shared" si="2"/>
        <v>2206849.0500000003</v>
      </c>
      <c r="N28" s="75">
        <f t="shared" si="2"/>
        <v>2206849.0500000003</v>
      </c>
      <c r="O28" s="75">
        <f t="shared" si="2"/>
        <v>2206849.0500000003</v>
      </c>
      <c r="P28" s="75">
        <f t="shared" si="2"/>
        <v>2317191.5024999999</v>
      </c>
      <c r="Q28" s="75">
        <f t="shared" si="2"/>
        <v>2317191.5024999999</v>
      </c>
      <c r="R28" s="75">
        <f t="shared" si="2"/>
        <v>2317191.5024999999</v>
      </c>
      <c r="S28" s="75">
        <f t="shared" si="2"/>
        <v>2433051.0776249999</v>
      </c>
      <c r="T28" s="75">
        <f t="shared" si="2"/>
        <v>2433051.0776249999</v>
      </c>
      <c r="U28" s="75">
        <f t="shared" si="2"/>
        <v>2433051.0776249999</v>
      </c>
      <c r="V28" s="75">
        <f t="shared" si="2"/>
        <v>2554703.6315062502</v>
      </c>
      <c r="W28" s="75">
        <f t="shared" si="2"/>
        <v>2554703.6315062502</v>
      </c>
      <c r="X28" s="75">
        <f t="shared" si="2"/>
        <v>2554703.6315062502</v>
      </c>
      <c r="Y28" s="75">
        <f t="shared" si="2"/>
        <v>2682438.8130815625</v>
      </c>
      <c r="Z28" s="75">
        <f t="shared" si="2"/>
        <v>2682438.8130815625</v>
      </c>
      <c r="AA28" s="75">
        <f t="shared" si="2"/>
        <v>2682438.8130815625</v>
      </c>
      <c r="AB28" s="75">
        <f t="shared" si="2"/>
        <v>2816560.7537356415</v>
      </c>
      <c r="AC28" s="75">
        <f t="shared" si="2"/>
        <v>2816560.7537356415</v>
      </c>
      <c r="AD28" s="75">
        <f t="shared" si="2"/>
        <v>2816560.7537356415</v>
      </c>
      <c r="AE28" s="75">
        <f t="shared" si="2"/>
        <v>2957388.7914224225</v>
      </c>
      <c r="AF28" s="75">
        <f t="shared" si="2"/>
        <v>2957388.7914224225</v>
      </c>
      <c r="AG28" s="75">
        <f t="shared" si="2"/>
        <v>2957388.7914224225</v>
      </c>
      <c r="AH28" s="75">
        <f t="shared" si="2"/>
        <v>3105258.2309935451</v>
      </c>
      <c r="AI28" s="75">
        <f t="shared" si="2"/>
        <v>3105258.2309935451</v>
      </c>
      <c r="AJ28" s="75">
        <f t="shared" si="2"/>
        <v>3105258.2309935451</v>
      </c>
      <c r="AK28" s="20" t="s">
        <v>98</v>
      </c>
    </row>
    <row r="30" spans="5:37" x14ac:dyDescent="0.25">
      <c r="E30" t="s">
        <v>94</v>
      </c>
      <c r="F30" s="22">
        <f>Input!B33</f>
        <v>9</v>
      </c>
    </row>
    <row r="32" spans="5:37" x14ac:dyDescent="0.25">
      <c r="F32" s="22"/>
    </row>
    <row r="33" spans="5:6" x14ac:dyDescent="0.25">
      <c r="F33" s="22"/>
    </row>
    <row r="34" spans="5:6" x14ac:dyDescent="0.25">
      <c r="E34" s="22"/>
      <c r="F34" s="22"/>
    </row>
    <row r="35" spans="5:6" x14ac:dyDescent="0.25">
      <c r="E35" s="22"/>
      <c r="F35" s="22"/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3FC2F-DD62-445D-A5F5-D415B883A4E1}">
  <sheetPr codeName="Sheet6">
    <tabColor rgb="FF92D050"/>
  </sheetPr>
  <dimension ref="A1:AJ44"/>
  <sheetViews>
    <sheetView showGridLines="0" zoomScale="70" zoomScaleNormal="70" workbookViewId="0">
      <pane xSplit="9" ySplit="5" topLeftCell="J6" activePane="bottomRight" state="frozen"/>
      <selection activeCell="F31" sqref="F31"/>
      <selection pane="topRight" activeCell="F31" sqref="F31"/>
      <selection pane="bottomLeft" activeCell="F31" sqref="F31"/>
      <selection pane="bottomRight" activeCell="J6" sqref="J6"/>
    </sheetView>
  </sheetViews>
  <sheetFormatPr defaultRowHeight="15" x14ac:dyDescent="0.25"/>
  <cols>
    <col min="1" max="4" width="2.28515625" customWidth="1"/>
    <col min="5" max="5" width="27.140625" customWidth="1"/>
    <col min="9" max="9" width="2.7109375" customWidth="1"/>
    <col min="10" max="36" width="18.28515625" customWidth="1"/>
  </cols>
  <sheetData>
    <row r="1" spans="1:36" ht="34.5" x14ac:dyDescent="0.55000000000000004">
      <c r="A1" s="21" t="s">
        <v>89</v>
      </c>
    </row>
    <row r="2" spans="1:36" s="20" customFormat="1" x14ac:dyDescent="0.25">
      <c r="J2" s="18"/>
      <c r="K2" s="18" t="s">
        <v>76</v>
      </c>
      <c r="L2" s="18"/>
      <c r="M2" s="19"/>
      <c r="N2" s="19" t="s">
        <v>77</v>
      </c>
      <c r="O2" s="19"/>
      <c r="P2" s="18"/>
      <c r="Q2" s="18" t="s">
        <v>78</v>
      </c>
      <c r="R2" s="18"/>
      <c r="S2" s="19"/>
      <c r="T2" s="19" t="s">
        <v>79</v>
      </c>
      <c r="U2" s="19"/>
      <c r="V2" s="18"/>
      <c r="W2" s="18" t="s">
        <v>80</v>
      </c>
      <c r="X2" s="18"/>
      <c r="Y2" s="19"/>
      <c r="Z2" s="19" t="s">
        <v>81</v>
      </c>
      <c r="AA2" s="19"/>
      <c r="AB2" s="18"/>
      <c r="AC2" s="18" t="s">
        <v>82</v>
      </c>
      <c r="AD2" s="18"/>
      <c r="AE2" s="19"/>
      <c r="AF2" s="19" t="s">
        <v>83</v>
      </c>
      <c r="AG2" s="19"/>
      <c r="AH2" s="18"/>
      <c r="AI2" s="18" t="s">
        <v>84</v>
      </c>
      <c r="AJ2" s="18"/>
    </row>
    <row r="3" spans="1:36" x14ac:dyDescent="0.25">
      <c r="J3" s="14" t="s">
        <v>72</v>
      </c>
      <c r="K3" s="14" t="s">
        <v>73</v>
      </c>
      <c r="L3" s="14" t="s">
        <v>74</v>
      </c>
      <c r="M3" s="16" t="s">
        <v>72</v>
      </c>
      <c r="N3" s="16" t="s">
        <v>73</v>
      </c>
      <c r="O3" s="16" t="s">
        <v>74</v>
      </c>
      <c r="P3" s="14" t="s">
        <v>72</v>
      </c>
      <c r="Q3" s="14" t="s">
        <v>73</v>
      </c>
      <c r="R3" s="14" t="s">
        <v>74</v>
      </c>
      <c r="S3" s="16" t="s">
        <v>72</v>
      </c>
      <c r="T3" s="16" t="s">
        <v>73</v>
      </c>
      <c r="U3" s="16" t="s">
        <v>74</v>
      </c>
      <c r="V3" s="14" t="s">
        <v>72</v>
      </c>
      <c r="W3" s="14" t="s">
        <v>73</v>
      </c>
      <c r="X3" s="14" t="s">
        <v>74</v>
      </c>
      <c r="Y3" s="16" t="s">
        <v>72</v>
      </c>
      <c r="Z3" s="16" t="s">
        <v>73</v>
      </c>
      <c r="AA3" s="16" t="s">
        <v>74</v>
      </c>
      <c r="AB3" s="14" t="s">
        <v>72</v>
      </c>
      <c r="AC3" s="14" t="s">
        <v>73</v>
      </c>
      <c r="AD3" s="14" t="s">
        <v>74</v>
      </c>
      <c r="AE3" s="16" t="s">
        <v>72</v>
      </c>
      <c r="AF3" s="16" t="s">
        <v>73</v>
      </c>
      <c r="AG3" s="16" t="s">
        <v>74</v>
      </c>
      <c r="AH3" s="14" t="s">
        <v>72</v>
      </c>
      <c r="AI3" s="14" t="s">
        <v>73</v>
      </c>
      <c r="AJ3" s="14" t="s">
        <v>74</v>
      </c>
    </row>
    <row r="4" spans="1:36" x14ac:dyDescent="0.25">
      <c r="J4" s="15">
        <v>45536</v>
      </c>
      <c r="K4" s="15">
        <v>45658</v>
      </c>
      <c r="L4" s="15">
        <v>45778</v>
      </c>
      <c r="M4" s="17">
        <v>45901</v>
      </c>
      <c r="N4" s="17">
        <v>46023</v>
      </c>
      <c r="O4" s="17">
        <v>46143</v>
      </c>
      <c r="P4" s="15">
        <v>46266</v>
      </c>
      <c r="Q4" s="15">
        <v>46388</v>
      </c>
      <c r="R4" s="15">
        <v>46508</v>
      </c>
      <c r="S4" s="17">
        <v>46631</v>
      </c>
      <c r="T4" s="17">
        <v>46753</v>
      </c>
      <c r="U4" s="17">
        <v>46874</v>
      </c>
      <c r="V4" s="15">
        <v>46997</v>
      </c>
      <c r="W4" s="15">
        <v>47119</v>
      </c>
      <c r="X4" s="15">
        <v>47239</v>
      </c>
      <c r="Y4" s="17">
        <v>47362</v>
      </c>
      <c r="Z4" s="17">
        <v>47484</v>
      </c>
      <c r="AA4" s="17">
        <v>47604</v>
      </c>
      <c r="AB4" s="15">
        <v>47727</v>
      </c>
      <c r="AC4" s="15">
        <v>47849</v>
      </c>
      <c r="AD4" s="15">
        <v>47969</v>
      </c>
      <c r="AE4" s="17">
        <v>48092</v>
      </c>
      <c r="AF4" s="17">
        <v>48214</v>
      </c>
      <c r="AG4" s="17">
        <v>48335</v>
      </c>
      <c r="AH4" s="15">
        <v>48458</v>
      </c>
      <c r="AI4" s="15">
        <v>48580</v>
      </c>
      <c r="AJ4" s="15">
        <v>48700</v>
      </c>
    </row>
    <row r="5" spans="1:36" x14ac:dyDescent="0.25">
      <c r="F5" t="s">
        <v>7</v>
      </c>
      <c r="G5" t="s">
        <v>218</v>
      </c>
      <c r="J5">
        <v>1</v>
      </c>
      <c r="K5">
        <v>2</v>
      </c>
      <c r="L5">
        <v>3</v>
      </c>
      <c r="M5">
        <v>4</v>
      </c>
      <c r="N5">
        <v>5</v>
      </c>
      <c r="O5">
        <v>6</v>
      </c>
      <c r="P5">
        <v>7</v>
      </c>
      <c r="Q5">
        <v>8</v>
      </c>
      <c r="R5">
        <v>9</v>
      </c>
      <c r="S5">
        <v>10</v>
      </c>
      <c r="T5">
        <v>11</v>
      </c>
      <c r="U5">
        <v>12</v>
      </c>
      <c r="V5">
        <v>13</v>
      </c>
      <c r="W5">
        <v>14</v>
      </c>
      <c r="X5">
        <v>15</v>
      </c>
      <c r="Y5">
        <v>16</v>
      </c>
      <c r="Z5">
        <v>17</v>
      </c>
      <c r="AA5">
        <v>18</v>
      </c>
      <c r="AB5">
        <v>19</v>
      </c>
      <c r="AC5">
        <v>20</v>
      </c>
      <c r="AD5">
        <v>21</v>
      </c>
      <c r="AE5">
        <v>22</v>
      </c>
      <c r="AF5">
        <v>23</v>
      </c>
      <c r="AG5">
        <v>24</v>
      </c>
      <c r="AH5">
        <v>25</v>
      </c>
      <c r="AI5">
        <v>26</v>
      </c>
      <c r="AJ5">
        <v>27</v>
      </c>
    </row>
    <row r="6" spans="1:36" x14ac:dyDescent="0.25">
      <c r="B6" t="s">
        <v>97</v>
      </c>
    </row>
    <row r="7" spans="1:36" x14ac:dyDescent="0.25">
      <c r="E7" t="str">
        <f>Input!A61</f>
        <v>Creche</v>
      </c>
      <c r="F7" s="22">
        <f>Input!B61</f>
        <v>1</v>
      </c>
      <c r="G7" s="22">
        <f>Input!C61</f>
        <v>2</v>
      </c>
      <c r="H7" s="22">
        <f>Input!D61</f>
        <v>2000</v>
      </c>
      <c r="J7" s="47">
        <f>$F7*$H7*$F$43</f>
        <v>7000</v>
      </c>
      <c r="K7" s="65">
        <f t="shared" ref="K7:L22" si="0">$F7*$H7*$F$43</f>
        <v>7000</v>
      </c>
      <c r="L7" s="65">
        <f t="shared" si="0"/>
        <v>7000</v>
      </c>
      <c r="M7" s="65">
        <f>$G7*$H7*$F$43</f>
        <v>14000</v>
      </c>
      <c r="N7" s="65">
        <f t="shared" ref="N7:O18" si="1">$G7*$H7*$F$43</f>
        <v>14000</v>
      </c>
      <c r="O7" s="65">
        <f>$G7*$H7*$F$43</f>
        <v>14000</v>
      </c>
      <c r="P7" s="66">
        <f>M7*(1+Input!$C$59)</f>
        <v>14700</v>
      </c>
      <c r="Q7" s="66">
        <f>N7*(1+Input!$C$59)</f>
        <v>14700</v>
      </c>
      <c r="R7" s="66">
        <f>O7*(1+Input!$C$59)</f>
        <v>14700</v>
      </c>
      <c r="S7" s="66">
        <f>P7*(1+Input!$C$59)</f>
        <v>15435</v>
      </c>
      <c r="T7" s="66">
        <f>Q7*(1+Input!$C$59)</f>
        <v>15435</v>
      </c>
      <c r="U7" s="66">
        <f>R7*(1+Input!$C$59)</f>
        <v>15435</v>
      </c>
      <c r="V7" s="66">
        <f>S7*(1+Input!$C$59)</f>
        <v>16206.75</v>
      </c>
      <c r="W7" s="66">
        <f>T7*(1+Input!$C$59)</f>
        <v>16206.75</v>
      </c>
      <c r="X7" s="66">
        <f>U7*(1+Input!$C$59)</f>
        <v>16206.75</v>
      </c>
      <c r="Y7" s="66">
        <f>V7*(1+Input!$C$59)</f>
        <v>17017.087500000001</v>
      </c>
      <c r="Z7" s="66">
        <f>W7*(1+Input!$C$59)</f>
        <v>17017.087500000001</v>
      </c>
      <c r="AA7" s="66">
        <f>X7*(1+Input!$C$59)</f>
        <v>17017.087500000001</v>
      </c>
      <c r="AB7" s="66">
        <f>Y7*(1+Input!$C$59)</f>
        <v>17867.941875000004</v>
      </c>
      <c r="AC7" s="66">
        <f>Z7*(1+Input!$C$59)</f>
        <v>17867.941875000004</v>
      </c>
      <c r="AD7" s="66">
        <f>AA7*(1+Input!$C$59)</f>
        <v>17867.941875000004</v>
      </c>
      <c r="AE7" s="66">
        <f>AB7*(1+Input!$C$59)</f>
        <v>18761.338968750006</v>
      </c>
      <c r="AF7" s="66">
        <f>AC7*(1+Input!$C$59)</f>
        <v>18761.338968750006</v>
      </c>
      <c r="AG7" s="66">
        <f>AD7*(1+Input!$C$59)</f>
        <v>18761.338968750006</v>
      </c>
      <c r="AH7" s="66">
        <f>AE7*(1+Input!$C$59)</f>
        <v>19699.405917187505</v>
      </c>
      <c r="AI7" s="66">
        <f>AF7*(1+Input!$C$59)</f>
        <v>19699.405917187505</v>
      </c>
      <c r="AJ7" s="66">
        <f>AG7*(1+Input!$C$59)</f>
        <v>19699.405917187505</v>
      </c>
    </row>
    <row r="8" spans="1:36" x14ac:dyDescent="0.25">
      <c r="E8" t="str">
        <f>Input!A62</f>
        <v>Playgroup</v>
      </c>
      <c r="F8" s="22">
        <f>Input!B62</f>
        <v>1</v>
      </c>
      <c r="G8" s="22">
        <f>Input!C62</f>
        <v>2</v>
      </c>
      <c r="H8" s="22">
        <f>Input!D62</f>
        <v>2000</v>
      </c>
      <c r="J8" s="47">
        <f t="shared" ref="J8:L41" si="2">$F8*$H8*$F$43</f>
        <v>7000</v>
      </c>
      <c r="K8" s="65">
        <f t="shared" si="0"/>
        <v>7000</v>
      </c>
      <c r="L8" s="65">
        <f t="shared" si="0"/>
        <v>7000</v>
      </c>
      <c r="M8" s="65">
        <f t="shared" ref="M8:O34" si="3">$G8*$H8*$F$43</f>
        <v>14000</v>
      </c>
      <c r="N8" s="65">
        <f t="shared" si="1"/>
        <v>14000</v>
      </c>
      <c r="O8" s="65">
        <f t="shared" si="1"/>
        <v>14000</v>
      </c>
      <c r="P8" s="66">
        <f>M8*(1+Input!$C$59)</f>
        <v>14700</v>
      </c>
      <c r="Q8" s="66">
        <f>N8*(1+Input!$C$59)</f>
        <v>14700</v>
      </c>
      <c r="R8" s="66">
        <f>O8*(1+Input!$C$59)</f>
        <v>14700</v>
      </c>
      <c r="S8" s="66">
        <f>P8*(1+Input!$C$59)</f>
        <v>15435</v>
      </c>
      <c r="T8" s="66">
        <f>Q8*(1+Input!$C$59)</f>
        <v>15435</v>
      </c>
      <c r="U8" s="66">
        <f>R8*(1+Input!$C$59)</f>
        <v>15435</v>
      </c>
      <c r="V8" s="66">
        <f>S8*(1+Input!$C$59)</f>
        <v>16206.75</v>
      </c>
      <c r="W8" s="66">
        <f>T8*(1+Input!$C$59)</f>
        <v>16206.75</v>
      </c>
      <c r="X8" s="66">
        <f>U8*(1+Input!$C$59)</f>
        <v>16206.75</v>
      </c>
      <c r="Y8" s="66">
        <f>V8*(1+Input!$C$59)</f>
        <v>17017.087500000001</v>
      </c>
      <c r="Z8" s="66">
        <f>W8*(1+Input!$C$59)</f>
        <v>17017.087500000001</v>
      </c>
      <c r="AA8" s="66">
        <f>X8*(1+Input!$C$59)</f>
        <v>17017.087500000001</v>
      </c>
      <c r="AB8" s="66">
        <f>Y8*(1+Input!$C$59)</f>
        <v>17867.941875000004</v>
      </c>
      <c r="AC8" s="66">
        <f>Z8*(1+Input!$C$59)</f>
        <v>17867.941875000004</v>
      </c>
      <c r="AD8" s="66">
        <f>AA8*(1+Input!$C$59)</f>
        <v>17867.941875000004</v>
      </c>
      <c r="AE8" s="66">
        <f>AB8*(1+Input!$C$59)</f>
        <v>18761.338968750006</v>
      </c>
      <c r="AF8" s="66">
        <f>AC8*(1+Input!$C$59)</f>
        <v>18761.338968750006</v>
      </c>
      <c r="AG8" s="66">
        <f>AD8*(1+Input!$C$59)</f>
        <v>18761.338968750006</v>
      </c>
      <c r="AH8" s="66">
        <f>AE8*(1+Input!$C$59)</f>
        <v>19699.405917187505</v>
      </c>
      <c r="AI8" s="66">
        <f>AF8*(1+Input!$C$59)</f>
        <v>19699.405917187505</v>
      </c>
      <c r="AJ8" s="66">
        <f>AG8*(1+Input!$C$59)</f>
        <v>19699.405917187505</v>
      </c>
    </row>
    <row r="9" spans="1:36" x14ac:dyDescent="0.25">
      <c r="E9" t="str">
        <f>Input!A63</f>
        <v xml:space="preserve">Nursery </v>
      </c>
      <c r="F9" s="22">
        <f>Input!B63</f>
        <v>1</v>
      </c>
      <c r="G9" s="22">
        <f>Input!C63</f>
        <v>2</v>
      </c>
      <c r="H9" s="22">
        <f>Input!D63</f>
        <v>2000</v>
      </c>
      <c r="J9" s="47">
        <f t="shared" si="2"/>
        <v>7000</v>
      </c>
      <c r="K9" s="65">
        <f t="shared" si="0"/>
        <v>7000</v>
      </c>
      <c r="L9" s="65">
        <f t="shared" si="0"/>
        <v>7000</v>
      </c>
      <c r="M9" s="65">
        <f t="shared" si="3"/>
        <v>14000</v>
      </c>
      <c r="N9" s="65">
        <f t="shared" si="1"/>
        <v>14000</v>
      </c>
      <c r="O9" s="65">
        <f t="shared" si="1"/>
        <v>14000</v>
      </c>
      <c r="P9" s="66">
        <f>M9*(1+Input!$C$59)</f>
        <v>14700</v>
      </c>
      <c r="Q9" s="66">
        <f>N9*(1+Input!$C$59)</f>
        <v>14700</v>
      </c>
      <c r="R9" s="66">
        <f>O9*(1+Input!$C$59)</f>
        <v>14700</v>
      </c>
      <c r="S9" s="66">
        <f>P9*(1+Input!$C$59)</f>
        <v>15435</v>
      </c>
      <c r="T9" s="66">
        <f>Q9*(1+Input!$C$59)</f>
        <v>15435</v>
      </c>
      <c r="U9" s="66">
        <f>R9*(1+Input!$C$59)</f>
        <v>15435</v>
      </c>
      <c r="V9" s="66">
        <f>S9*(1+Input!$C$59)</f>
        <v>16206.75</v>
      </c>
      <c r="W9" s="66">
        <f>T9*(1+Input!$C$59)</f>
        <v>16206.75</v>
      </c>
      <c r="X9" s="66">
        <f>U9*(1+Input!$C$59)</f>
        <v>16206.75</v>
      </c>
      <c r="Y9" s="66">
        <f>V9*(1+Input!$C$59)</f>
        <v>17017.087500000001</v>
      </c>
      <c r="Z9" s="66">
        <f>W9*(1+Input!$C$59)</f>
        <v>17017.087500000001</v>
      </c>
      <c r="AA9" s="66">
        <f>X9*(1+Input!$C$59)</f>
        <v>17017.087500000001</v>
      </c>
      <c r="AB9" s="66">
        <f>Y9*(1+Input!$C$59)</f>
        <v>17867.941875000004</v>
      </c>
      <c r="AC9" s="66">
        <f>Z9*(1+Input!$C$59)</f>
        <v>17867.941875000004</v>
      </c>
      <c r="AD9" s="66">
        <f>AA9*(1+Input!$C$59)</f>
        <v>17867.941875000004</v>
      </c>
      <c r="AE9" s="66">
        <f>AB9*(1+Input!$C$59)</f>
        <v>18761.338968750006</v>
      </c>
      <c r="AF9" s="66">
        <f>AC9*(1+Input!$C$59)</f>
        <v>18761.338968750006</v>
      </c>
      <c r="AG9" s="66">
        <f>AD9*(1+Input!$C$59)</f>
        <v>18761.338968750006</v>
      </c>
      <c r="AH9" s="66">
        <f>AE9*(1+Input!$C$59)</f>
        <v>19699.405917187505</v>
      </c>
      <c r="AI9" s="66">
        <f>AF9*(1+Input!$C$59)</f>
        <v>19699.405917187505</v>
      </c>
      <c r="AJ9" s="66">
        <f>AG9*(1+Input!$C$59)</f>
        <v>19699.405917187505</v>
      </c>
    </row>
    <row r="10" spans="1:36" x14ac:dyDescent="0.25">
      <c r="E10" t="str">
        <f>Input!A64</f>
        <v xml:space="preserve">Reception 1 </v>
      </c>
      <c r="F10" s="22">
        <f>Input!B64</f>
        <v>1</v>
      </c>
      <c r="G10" s="22">
        <f>Input!C64</f>
        <v>2</v>
      </c>
      <c r="H10" s="22">
        <f>Input!D64</f>
        <v>3000</v>
      </c>
      <c r="J10" s="47">
        <f t="shared" si="2"/>
        <v>10500</v>
      </c>
      <c r="K10" s="65">
        <f t="shared" si="0"/>
        <v>10500</v>
      </c>
      <c r="L10" s="65">
        <f t="shared" si="0"/>
        <v>10500</v>
      </c>
      <c r="M10" s="65">
        <f t="shared" si="3"/>
        <v>21000</v>
      </c>
      <c r="N10" s="65">
        <f t="shared" si="1"/>
        <v>21000</v>
      </c>
      <c r="O10" s="65">
        <f t="shared" si="1"/>
        <v>21000</v>
      </c>
      <c r="P10" s="66">
        <f>M10*(1+Input!$C$59)</f>
        <v>22050</v>
      </c>
      <c r="Q10" s="66">
        <f>N10*(1+Input!$C$59)</f>
        <v>22050</v>
      </c>
      <c r="R10" s="66">
        <f>O10*(1+Input!$C$59)</f>
        <v>22050</v>
      </c>
      <c r="S10" s="66">
        <f>P10*(1+Input!$C$59)</f>
        <v>23152.5</v>
      </c>
      <c r="T10" s="66">
        <f>Q10*(1+Input!$C$59)</f>
        <v>23152.5</v>
      </c>
      <c r="U10" s="66">
        <f>R10*(1+Input!$C$59)</f>
        <v>23152.5</v>
      </c>
      <c r="V10" s="66">
        <f>S10*(1+Input!$C$59)</f>
        <v>24310.125</v>
      </c>
      <c r="W10" s="66">
        <f>T10*(1+Input!$C$59)</f>
        <v>24310.125</v>
      </c>
      <c r="X10" s="66">
        <f>U10*(1+Input!$C$59)</f>
        <v>24310.125</v>
      </c>
      <c r="Y10" s="66">
        <f>V10*(1+Input!$C$59)</f>
        <v>25525.631250000002</v>
      </c>
      <c r="Z10" s="66">
        <f>W10*(1+Input!$C$59)</f>
        <v>25525.631250000002</v>
      </c>
      <c r="AA10" s="66">
        <f>X10*(1+Input!$C$59)</f>
        <v>25525.631250000002</v>
      </c>
      <c r="AB10" s="66">
        <f>Y10*(1+Input!$C$59)</f>
        <v>26801.912812500002</v>
      </c>
      <c r="AC10" s="66">
        <f>Z10*(1+Input!$C$59)</f>
        <v>26801.912812500002</v>
      </c>
      <c r="AD10" s="66">
        <f>AA10*(1+Input!$C$59)</f>
        <v>26801.912812500002</v>
      </c>
      <c r="AE10" s="66">
        <f>AB10*(1+Input!$C$59)</f>
        <v>28142.008453125003</v>
      </c>
      <c r="AF10" s="66">
        <f>AC10*(1+Input!$C$59)</f>
        <v>28142.008453125003</v>
      </c>
      <c r="AG10" s="66">
        <f>AD10*(1+Input!$C$59)</f>
        <v>28142.008453125003</v>
      </c>
      <c r="AH10" s="66">
        <f>AE10*(1+Input!$C$59)</f>
        <v>29549.108875781254</v>
      </c>
      <c r="AI10" s="66">
        <f>AF10*(1+Input!$C$59)</f>
        <v>29549.108875781254</v>
      </c>
      <c r="AJ10" s="66">
        <f>AG10*(1+Input!$C$59)</f>
        <v>29549.108875781254</v>
      </c>
    </row>
    <row r="11" spans="1:36" x14ac:dyDescent="0.25">
      <c r="E11" t="str">
        <f>Input!A65</f>
        <v xml:space="preserve">Reception 2 </v>
      </c>
      <c r="F11" s="22">
        <f>Input!B65</f>
        <v>1</v>
      </c>
      <c r="G11" s="22">
        <f>Input!C65</f>
        <v>2</v>
      </c>
      <c r="H11" s="22">
        <f>Input!D65</f>
        <v>3000</v>
      </c>
      <c r="J11" s="47">
        <f t="shared" si="2"/>
        <v>10500</v>
      </c>
      <c r="K11" s="65">
        <f t="shared" si="0"/>
        <v>10500</v>
      </c>
      <c r="L11" s="65">
        <f t="shared" si="0"/>
        <v>10500</v>
      </c>
      <c r="M11" s="65">
        <f t="shared" si="3"/>
        <v>21000</v>
      </c>
      <c r="N11" s="65">
        <f t="shared" si="1"/>
        <v>21000</v>
      </c>
      <c r="O11" s="65">
        <f t="shared" si="1"/>
        <v>21000</v>
      </c>
      <c r="P11" s="66">
        <f>M11*(1+Input!$C$59)</f>
        <v>22050</v>
      </c>
      <c r="Q11" s="66">
        <f>N11*(1+Input!$C$59)</f>
        <v>22050</v>
      </c>
      <c r="R11" s="66">
        <f>O11*(1+Input!$C$59)</f>
        <v>22050</v>
      </c>
      <c r="S11" s="66">
        <f>P11*(1+Input!$C$59)</f>
        <v>23152.5</v>
      </c>
      <c r="T11" s="66">
        <f>Q11*(1+Input!$C$59)</f>
        <v>23152.5</v>
      </c>
      <c r="U11" s="66">
        <f>R11*(1+Input!$C$59)</f>
        <v>23152.5</v>
      </c>
      <c r="V11" s="66">
        <f>S11*(1+Input!$C$59)</f>
        <v>24310.125</v>
      </c>
      <c r="W11" s="66">
        <f>T11*(1+Input!$C$59)</f>
        <v>24310.125</v>
      </c>
      <c r="X11" s="66">
        <f>U11*(1+Input!$C$59)</f>
        <v>24310.125</v>
      </c>
      <c r="Y11" s="66">
        <f>V11*(1+Input!$C$59)</f>
        <v>25525.631250000002</v>
      </c>
      <c r="Z11" s="66">
        <f>W11*(1+Input!$C$59)</f>
        <v>25525.631250000002</v>
      </c>
      <c r="AA11" s="66">
        <f>X11*(1+Input!$C$59)</f>
        <v>25525.631250000002</v>
      </c>
      <c r="AB11" s="66">
        <f>Y11*(1+Input!$C$59)</f>
        <v>26801.912812500002</v>
      </c>
      <c r="AC11" s="66">
        <f>Z11*(1+Input!$C$59)</f>
        <v>26801.912812500002</v>
      </c>
      <c r="AD11" s="66">
        <f>AA11*(1+Input!$C$59)</f>
        <v>26801.912812500002</v>
      </c>
      <c r="AE11" s="66">
        <f>AB11*(1+Input!$C$59)</f>
        <v>28142.008453125003</v>
      </c>
      <c r="AF11" s="66">
        <f>AC11*(1+Input!$C$59)</f>
        <v>28142.008453125003</v>
      </c>
      <c r="AG11" s="66">
        <f>AD11*(1+Input!$C$59)</f>
        <v>28142.008453125003</v>
      </c>
      <c r="AH11" s="66">
        <f>AE11*(1+Input!$C$59)</f>
        <v>29549.108875781254</v>
      </c>
      <c r="AI11" s="66">
        <f>AF11*(1+Input!$C$59)</f>
        <v>29549.108875781254</v>
      </c>
      <c r="AJ11" s="66">
        <f>AG11*(1+Input!$C$59)</f>
        <v>29549.108875781254</v>
      </c>
    </row>
    <row r="12" spans="1:36" x14ac:dyDescent="0.25">
      <c r="E12" t="str">
        <f>Input!A66</f>
        <v>Year 1</v>
      </c>
      <c r="F12" s="22">
        <f>Input!B66</f>
        <v>1</v>
      </c>
      <c r="G12" s="22">
        <f>Input!C66</f>
        <v>2</v>
      </c>
      <c r="H12" s="22">
        <f>Input!D66</f>
        <v>3000</v>
      </c>
      <c r="J12" s="47">
        <f t="shared" si="2"/>
        <v>10500</v>
      </c>
      <c r="K12" s="65">
        <f t="shared" si="0"/>
        <v>10500</v>
      </c>
      <c r="L12" s="65">
        <f t="shared" si="0"/>
        <v>10500</v>
      </c>
      <c r="M12" s="65">
        <f t="shared" si="3"/>
        <v>21000</v>
      </c>
      <c r="N12" s="65">
        <f t="shared" si="1"/>
        <v>21000</v>
      </c>
      <c r="O12" s="65">
        <f t="shared" si="1"/>
        <v>21000</v>
      </c>
      <c r="P12" s="66">
        <f>M12*(1+Input!$C$59)</f>
        <v>22050</v>
      </c>
      <c r="Q12" s="66">
        <f>N12*(1+Input!$C$59)</f>
        <v>22050</v>
      </c>
      <c r="R12" s="66">
        <f>O12*(1+Input!$C$59)</f>
        <v>22050</v>
      </c>
      <c r="S12" s="66">
        <f>P12*(1+Input!$C$59)</f>
        <v>23152.5</v>
      </c>
      <c r="T12" s="66">
        <f>Q12*(1+Input!$C$59)</f>
        <v>23152.5</v>
      </c>
      <c r="U12" s="66">
        <f>R12*(1+Input!$C$59)</f>
        <v>23152.5</v>
      </c>
      <c r="V12" s="66">
        <f>S12*(1+Input!$C$59)</f>
        <v>24310.125</v>
      </c>
      <c r="W12" s="66">
        <f>T12*(1+Input!$C$59)</f>
        <v>24310.125</v>
      </c>
      <c r="X12" s="66">
        <f>U12*(1+Input!$C$59)</f>
        <v>24310.125</v>
      </c>
      <c r="Y12" s="66">
        <f>V12*(1+Input!$C$59)</f>
        <v>25525.631250000002</v>
      </c>
      <c r="Z12" s="66">
        <f>W12*(1+Input!$C$59)</f>
        <v>25525.631250000002</v>
      </c>
      <c r="AA12" s="66">
        <f>X12*(1+Input!$C$59)</f>
        <v>25525.631250000002</v>
      </c>
      <c r="AB12" s="66">
        <f>Y12*(1+Input!$C$59)</f>
        <v>26801.912812500002</v>
      </c>
      <c r="AC12" s="66">
        <f>Z12*(1+Input!$C$59)</f>
        <v>26801.912812500002</v>
      </c>
      <c r="AD12" s="66">
        <f>AA12*(1+Input!$C$59)</f>
        <v>26801.912812500002</v>
      </c>
      <c r="AE12" s="66">
        <f>AB12*(1+Input!$C$59)</f>
        <v>28142.008453125003</v>
      </c>
      <c r="AF12" s="66">
        <f>AC12*(1+Input!$C$59)</f>
        <v>28142.008453125003</v>
      </c>
      <c r="AG12" s="66">
        <f>AD12*(1+Input!$C$59)</f>
        <v>28142.008453125003</v>
      </c>
      <c r="AH12" s="66">
        <f>AE12*(1+Input!$C$59)</f>
        <v>29549.108875781254</v>
      </c>
      <c r="AI12" s="66">
        <f>AF12*(1+Input!$C$59)</f>
        <v>29549.108875781254</v>
      </c>
      <c r="AJ12" s="66">
        <f>AG12*(1+Input!$C$59)</f>
        <v>29549.108875781254</v>
      </c>
    </row>
    <row r="13" spans="1:36" x14ac:dyDescent="0.25">
      <c r="E13" t="str">
        <f>Input!A67</f>
        <v>Year 2</v>
      </c>
      <c r="F13" s="22">
        <f>Input!B67</f>
        <v>1</v>
      </c>
      <c r="G13" s="22">
        <f>Input!C67</f>
        <v>2</v>
      </c>
      <c r="H13" s="22">
        <f>Input!D67</f>
        <v>3000</v>
      </c>
      <c r="J13" s="47">
        <f t="shared" si="2"/>
        <v>10500</v>
      </c>
      <c r="K13" s="65">
        <f t="shared" si="0"/>
        <v>10500</v>
      </c>
      <c r="L13" s="65">
        <f t="shared" si="0"/>
        <v>10500</v>
      </c>
      <c r="M13" s="65">
        <f t="shared" si="3"/>
        <v>21000</v>
      </c>
      <c r="N13" s="65">
        <f t="shared" si="1"/>
        <v>21000</v>
      </c>
      <c r="O13" s="65">
        <f t="shared" si="1"/>
        <v>21000</v>
      </c>
      <c r="P13" s="66">
        <f>M13*(1+Input!$C$59)</f>
        <v>22050</v>
      </c>
      <c r="Q13" s="66">
        <f>N13*(1+Input!$C$59)</f>
        <v>22050</v>
      </c>
      <c r="R13" s="66">
        <f>O13*(1+Input!$C$59)</f>
        <v>22050</v>
      </c>
      <c r="S13" s="66">
        <f>P13*(1+Input!$C$59)</f>
        <v>23152.5</v>
      </c>
      <c r="T13" s="66">
        <f>Q13*(1+Input!$C$59)</f>
        <v>23152.5</v>
      </c>
      <c r="U13" s="66">
        <f>R13*(1+Input!$C$59)</f>
        <v>23152.5</v>
      </c>
      <c r="V13" s="66">
        <f>S13*(1+Input!$C$59)</f>
        <v>24310.125</v>
      </c>
      <c r="W13" s="66">
        <f>T13*(1+Input!$C$59)</f>
        <v>24310.125</v>
      </c>
      <c r="X13" s="66">
        <f>U13*(1+Input!$C$59)</f>
        <v>24310.125</v>
      </c>
      <c r="Y13" s="66">
        <f>V13*(1+Input!$C$59)</f>
        <v>25525.631250000002</v>
      </c>
      <c r="Z13" s="66">
        <f>W13*(1+Input!$C$59)</f>
        <v>25525.631250000002</v>
      </c>
      <c r="AA13" s="66">
        <f>X13*(1+Input!$C$59)</f>
        <v>25525.631250000002</v>
      </c>
      <c r="AB13" s="66">
        <f>Y13*(1+Input!$C$59)</f>
        <v>26801.912812500002</v>
      </c>
      <c r="AC13" s="66">
        <f>Z13*(1+Input!$C$59)</f>
        <v>26801.912812500002</v>
      </c>
      <c r="AD13" s="66">
        <f>AA13*(1+Input!$C$59)</f>
        <v>26801.912812500002</v>
      </c>
      <c r="AE13" s="66">
        <f>AB13*(1+Input!$C$59)</f>
        <v>28142.008453125003</v>
      </c>
      <c r="AF13" s="66">
        <f>AC13*(1+Input!$C$59)</f>
        <v>28142.008453125003</v>
      </c>
      <c r="AG13" s="66">
        <f>AD13*(1+Input!$C$59)</f>
        <v>28142.008453125003</v>
      </c>
      <c r="AH13" s="66">
        <f>AE13*(1+Input!$C$59)</f>
        <v>29549.108875781254</v>
      </c>
      <c r="AI13" s="66">
        <f>AF13*(1+Input!$C$59)</f>
        <v>29549.108875781254</v>
      </c>
      <c r="AJ13" s="66">
        <f>AG13*(1+Input!$C$59)</f>
        <v>29549.108875781254</v>
      </c>
    </row>
    <row r="14" spans="1:36" x14ac:dyDescent="0.25">
      <c r="E14" t="str">
        <f>Input!A68</f>
        <v>Year 3</v>
      </c>
      <c r="F14" s="22">
        <f>Input!B68</f>
        <v>1</v>
      </c>
      <c r="G14" s="22">
        <f>Input!C68</f>
        <v>2</v>
      </c>
      <c r="H14" s="22">
        <f>Input!D68</f>
        <v>3000</v>
      </c>
      <c r="J14" s="47">
        <f t="shared" si="2"/>
        <v>10500</v>
      </c>
      <c r="K14" s="65">
        <f t="shared" si="0"/>
        <v>10500</v>
      </c>
      <c r="L14" s="65">
        <f t="shared" si="0"/>
        <v>10500</v>
      </c>
      <c r="M14" s="65">
        <f t="shared" si="3"/>
        <v>21000</v>
      </c>
      <c r="N14" s="65">
        <f t="shared" si="1"/>
        <v>21000</v>
      </c>
      <c r="O14" s="65">
        <f t="shared" si="1"/>
        <v>21000</v>
      </c>
      <c r="P14" s="66">
        <f>M14*(1+Input!$C$59)</f>
        <v>22050</v>
      </c>
      <c r="Q14" s="66">
        <f>N14*(1+Input!$C$59)</f>
        <v>22050</v>
      </c>
      <c r="R14" s="66">
        <f>O14*(1+Input!$C$59)</f>
        <v>22050</v>
      </c>
      <c r="S14" s="66">
        <f>P14*(1+Input!$C$59)</f>
        <v>23152.5</v>
      </c>
      <c r="T14" s="66">
        <f>Q14*(1+Input!$C$59)</f>
        <v>23152.5</v>
      </c>
      <c r="U14" s="66">
        <f>R14*(1+Input!$C$59)</f>
        <v>23152.5</v>
      </c>
      <c r="V14" s="66">
        <f>S14*(1+Input!$C$59)</f>
        <v>24310.125</v>
      </c>
      <c r="W14" s="66">
        <f>T14*(1+Input!$C$59)</f>
        <v>24310.125</v>
      </c>
      <c r="X14" s="66">
        <f>U14*(1+Input!$C$59)</f>
        <v>24310.125</v>
      </c>
      <c r="Y14" s="66">
        <f>V14*(1+Input!$C$59)</f>
        <v>25525.631250000002</v>
      </c>
      <c r="Z14" s="66">
        <f>W14*(1+Input!$C$59)</f>
        <v>25525.631250000002</v>
      </c>
      <c r="AA14" s="66">
        <f>X14*(1+Input!$C$59)</f>
        <v>25525.631250000002</v>
      </c>
      <c r="AB14" s="66">
        <f>Y14*(1+Input!$C$59)</f>
        <v>26801.912812500002</v>
      </c>
      <c r="AC14" s="66">
        <f>Z14*(1+Input!$C$59)</f>
        <v>26801.912812500002</v>
      </c>
      <c r="AD14" s="66">
        <f>AA14*(1+Input!$C$59)</f>
        <v>26801.912812500002</v>
      </c>
      <c r="AE14" s="66">
        <f>AB14*(1+Input!$C$59)</f>
        <v>28142.008453125003</v>
      </c>
      <c r="AF14" s="66">
        <f>AC14*(1+Input!$C$59)</f>
        <v>28142.008453125003</v>
      </c>
      <c r="AG14" s="66">
        <f>AD14*(1+Input!$C$59)</f>
        <v>28142.008453125003</v>
      </c>
      <c r="AH14" s="66">
        <f>AE14*(1+Input!$C$59)</f>
        <v>29549.108875781254</v>
      </c>
      <c r="AI14" s="66">
        <f>AF14*(1+Input!$C$59)</f>
        <v>29549.108875781254</v>
      </c>
      <c r="AJ14" s="66">
        <f>AG14*(1+Input!$C$59)</f>
        <v>29549.108875781254</v>
      </c>
    </row>
    <row r="15" spans="1:36" x14ac:dyDescent="0.25">
      <c r="E15" t="str">
        <f>Input!A69</f>
        <v>Year 4</v>
      </c>
      <c r="F15" s="22">
        <f>Input!B69</f>
        <v>1</v>
      </c>
      <c r="G15" s="22">
        <f>Input!C69</f>
        <v>2</v>
      </c>
      <c r="H15" s="22">
        <f>Input!D69</f>
        <v>3000</v>
      </c>
      <c r="J15" s="47">
        <f t="shared" si="2"/>
        <v>10500</v>
      </c>
      <c r="K15" s="65">
        <f t="shared" si="0"/>
        <v>10500</v>
      </c>
      <c r="L15" s="65">
        <f t="shared" si="0"/>
        <v>10500</v>
      </c>
      <c r="M15" s="65">
        <f t="shared" si="3"/>
        <v>21000</v>
      </c>
      <c r="N15" s="65">
        <f t="shared" si="1"/>
        <v>21000</v>
      </c>
      <c r="O15" s="65">
        <f t="shared" si="1"/>
        <v>21000</v>
      </c>
      <c r="P15" s="66">
        <f>M15*(1+Input!$C$59)</f>
        <v>22050</v>
      </c>
      <c r="Q15" s="66">
        <f>N15*(1+Input!$C$59)</f>
        <v>22050</v>
      </c>
      <c r="R15" s="66">
        <f>O15*(1+Input!$C$59)</f>
        <v>22050</v>
      </c>
      <c r="S15" s="66">
        <f>P15*(1+Input!$C$59)</f>
        <v>23152.5</v>
      </c>
      <c r="T15" s="66">
        <f>Q15*(1+Input!$C$59)</f>
        <v>23152.5</v>
      </c>
      <c r="U15" s="66">
        <f>R15*(1+Input!$C$59)</f>
        <v>23152.5</v>
      </c>
      <c r="V15" s="66">
        <f>S15*(1+Input!$C$59)</f>
        <v>24310.125</v>
      </c>
      <c r="W15" s="66">
        <f>T15*(1+Input!$C$59)</f>
        <v>24310.125</v>
      </c>
      <c r="X15" s="66">
        <f>U15*(1+Input!$C$59)</f>
        <v>24310.125</v>
      </c>
      <c r="Y15" s="66">
        <f>V15*(1+Input!$C$59)</f>
        <v>25525.631250000002</v>
      </c>
      <c r="Z15" s="66">
        <f>W15*(1+Input!$C$59)</f>
        <v>25525.631250000002</v>
      </c>
      <c r="AA15" s="66">
        <f>X15*(1+Input!$C$59)</f>
        <v>25525.631250000002</v>
      </c>
      <c r="AB15" s="66">
        <f>Y15*(1+Input!$C$59)</f>
        <v>26801.912812500002</v>
      </c>
      <c r="AC15" s="66">
        <f>Z15*(1+Input!$C$59)</f>
        <v>26801.912812500002</v>
      </c>
      <c r="AD15" s="66">
        <f>AA15*(1+Input!$C$59)</f>
        <v>26801.912812500002</v>
      </c>
      <c r="AE15" s="66">
        <f>AB15*(1+Input!$C$59)</f>
        <v>28142.008453125003</v>
      </c>
      <c r="AF15" s="66">
        <f>AC15*(1+Input!$C$59)</f>
        <v>28142.008453125003</v>
      </c>
      <c r="AG15" s="66">
        <f>AD15*(1+Input!$C$59)</f>
        <v>28142.008453125003</v>
      </c>
      <c r="AH15" s="66">
        <f>AE15*(1+Input!$C$59)</f>
        <v>29549.108875781254</v>
      </c>
      <c r="AI15" s="66">
        <f>AF15*(1+Input!$C$59)</f>
        <v>29549.108875781254</v>
      </c>
      <c r="AJ15" s="66">
        <f>AG15*(1+Input!$C$59)</f>
        <v>29549.108875781254</v>
      </c>
    </row>
    <row r="16" spans="1:36" x14ac:dyDescent="0.25">
      <c r="E16" t="str">
        <f>Input!A70</f>
        <v>Year 5</v>
      </c>
      <c r="F16" s="22">
        <f>Input!B70</f>
        <v>1</v>
      </c>
      <c r="G16" s="22">
        <f>Input!C70</f>
        <v>2</v>
      </c>
      <c r="H16" s="22">
        <f>Input!D70</f>
        <v>3000</v>
      </c>
      <c r="J16" s="47">
        <f t="shared" si="2"/>
        <v>10500</v>
      </c>
      <c r="K16" s="65">
        <f t="shared" si="0"/>
        <v>10500</v>
      </c>
      <c r="L16" s="65">
        <f t="shared" si="0"/>
        <v>10500</v>
      </c>
      <c r="M16" s="65">
        <f t="shared" si="3"/>
        <v>21000</v>
      </c>
      <c r="N16" s="65">
        <f t="shared" si="1"/>
        <v>21000</v>
      </c>
      <c r="O16" s="65">
        <f t="shared" si="1"/>
        <v>21000</v>
      </c>
      <c r="P16" s="66">
        <f>M16*(1+Input!$C$59)</f>
        <v>22050</v>
      </c>
      <c r="Q16" s="66">
        <f>N16*(1+Input!$C$59)</f>
        <v>22050</v>
      </c>
      <c r="R16" s="66">
        <f>O16*(1+Input!$C$59)</f>
        <v>22050</v>
      </c>
      <c r="S16" s="66">
        <f>P16*(1+Input!$C$59)</f>
        <v>23152.5</v>
      </c>
      <c r="T16" s="66">
        <f>Q16*(1+Input!$C$59)</f>
        <v>23152.5</v>
      </c>
      <c r="U16" s="66">
        <f>R16*(1+Input!$C$59)</f>
        <v>23152.5</v>
      </c>
      <c r="V16" s="66">
        <f>S16*(1+Input!$C$59)</f>
        <v>24310.125</v>
      </c>
      <c r="W16" s="66">
        <f>T16*(1+Input!$C$59)</f>
        <v>24310.125</v>
      </c>
      <c r="X16" s="66">
        <f>U16*(1+Input!$C$59)</f>
        <v>24310.125</v>
      </c>
      <c r="Y16" s="66">
        <f>V16*(1+Input!$C$59)</f>
        <v>25525.631250000002</v>
      </c>
      <c r="Z16" s="66">
        <f>W16*(1+Input!$C$59)</f>
        <v>25525.631250000002</v>
      </c>
      <c r="AA16" s="66">
        <f>X16*(1+Input!$C$59)</f>
        <v>25525.631250000002</v>
      </c>
      <c r="AB16" s="66">
        <f>Y16*(1+Input!$C$59)</f>
        <v>26801.912812500002</v>
      </c>
      <c r="AC16" s="66">
        <f>Z16*(1+Input!$C$59)</f>
        <v>26801.912812500002</v>
      </c>
      <c r="AD16" s="66">
        <f>AA16*(1+Input!$C$59)</f>
        <v>26801.912812500002</v>
      </c>
      <c r="AE16" s="66">
        <f>AB16*(1+Input!$C$59)</f>
        <v>28142.008453125003</v>
      </c>
      <c r="AF16" s="66">
        <f>AC16*(1+Input!$C$59)</f>
        <v>28142.008453125003</v>
      </c>
      <c r="AG16" s="66">
        <f>AD16*(1+Input!$C$59)</f>
        <v>28142.008453125003</v>
      </c>
      <c r="AH16" s="66">
        <f>AE16*(1+Input!$C$59)</f>
        <v>29549.108875781254</v>
      </c>
      <c r="AI16" s="66">
        <f>AF16*(1+Input!$C$59)</f>
        <v>29549.108875781254</v>
      </c>
      <c r="AJ16" s="66">
        <f>AG16*(1+Input!$C$59)</f>
        <v>29549.108875781254</v>
      </c>
    </row>
    <row r="17" spans="5:36" x14ac:dyDescent="0.25">
      <c r="E17" t="str">
        <f>Input!A71</f>
        <v>Year 6</v>
      </c>
      <c r="F17" s="22">
        <f>Input!B71</f>
        <v>2</v>
      </c>
      <c r="G17" s="22">
        <f>Input!C71</f>
        <v>3</v>
      </c>
      <c r="H17" s="22">
        <f>Input!D71</f>
        <v>3000</v>
      </c>
      <c r="J17" s="47">
        <f t="shared" si="2"/>
        <v>21000</v>
      </c>
      <c r="K17" s="65">
        <f t="shared" si="0"/>
        <v>21000</v>
      </c>
      <c r="L17" s="65">
        <f t="shared" si="0"/>
        <v>21000</v>
      </c>
      <c r="M17" s="65">
        <f t="shared" si="3"/>
        <v>31500</v>
      </c>
      <c r="N17" s="65">
        <f t="shared" si="1"/>
        <v>31500</v>
      </c>
      <c r="O17" s="65">
        <f t="shared" si="1"/>
        <v>31500</v>
      </c>
      <c r="P17" s="66">
        <f>M17*(1+Input!$C$59)</f>
        <v>33075</v>
      </c>
      <c r="Q17" s="66">
        <f>N17*(1+Input!$C$59)</f>
        <v>33075</v>
      </c>
      <c r="R17" s="66">
        <f>O17*(1+Input!$C$59)</f>
        <v>33075</v>
      </c>
      <c r="S17" s="66">
        <f>P17*(1+Input!$C$59)</f>
        <v>34728.75</v>
      </c>
      <c r="T17" s="66">
        <f>Q17*(1+Input!$C$59)</f>
        <v>34728.75</v>
      </c>
      <c r="U17" s="66">
        <f>R17*(1+Input!$C$59)</f>
        <v>34728.75</v>
      </c>
      <c r="V17" s="66">
        <f>S17*(1+Input!$C$59)</f>
        <v>36465.1875</v>
      </c>
      <c r="W17" s="66">
        <f>T17*(1+Input!$C$59)</f>
        <v>36465.1875</v>
      </c>
      <c r="X17" s="66">
        <f>U17*(1+Input!$C$59)</f>
        <v>36465.1875</v>
      </c>
      <c r="Y17" s="66">
        <f>V17*(1+Input!$C$59)</f>
        <v>38288.446875000001</v>
      </c>
      <c r="Z17" s="66">
        <f>W17*(1+Input!$C$59)</f>
        <v>38288.446875000001</v>
      </c>
      <c r="AA17" s="66">
        <f>X17*(1+Input!$C$59)</f>
        <v>38288.446875000001</v>
      </c>
      <c r="AB17" s="66">
        <f>Y17*(1+Input!$C$59)</f>
        <v>40202.869218750006</v>
      </c>
      <c r="AC17" s="66">
        <f>Z17*(1+Input!$C$59)</f>
        <v>40202.869218750006</v>
      </c>
      <c r="AD17" s="66">
        <f>AA17*(1+Input!$C$59)</f>
        <v>40202.869218750006</v>
      </c>
      <c r="AE17" s="66">
        <f>AB17*(1+Input!$C$59)</f>
        <v>42213.012679687505</v>
      </c>
      <c r="AF17" s="66">
        <f>AC17*(1+Input!$C$59)</f>
        <v>42213.012679687505</v>
      </c>
      <c r="AG17" s="66">
        <f>AD17*(1+Input!$C$59)</f>
        <v>42213.012679687505</v>
      </c>
      <c r="AH17" s="66">
        <f>AE17*(1+Input!$C$59)</f>
        <v>44323.663313671881</v>
      </c>
      <c r="AI17" s="66">
        <f>AF17*(1+Input!$C$59)</f>
        <v>44323.663313671881</v>
      </c>
      <c r="AJ17" s="66">
        <f>AG17*(1+Input!$C$59)</f>
        <v>44323.663313671881</v>
      </c>
    </row>
    <row r="18" spans="5:36" x14ac:dyDescent="0.25">
      <c r="E18" t="str">
        <f>Input!A72</f>
        <v>Year 7</v>
      </c>
      <c r="F18" s="22">
        <f>Input!B72</f>
        <v>2</v>
      </c>
      <c r="G18" s="22">
        <f>Input!C72</f>
        <v>3</v>
      </c>
      <c r="H18" s="22">
        <f>Input!D72</f>
        <v>3000</v>
      </c>
      <c r="J18" s="47">
        <f t="shared" si="2"/>
        <v>21000</v>
      </c>
      <c r="K18" s="65">
        <f t="shared" si="0"/>
        <v>21000</v>
      </c>
      <c r="L18" s="65">
        <f t="shared" si="0"/>
        <v>21000</v>
      </c>
      <c r="M18" s="65">
        <f t="shared" si="3"/>
        <v>31500</v>
      </c>
      <c r="N18" s="65">
        <f t="shared" si="1"/>
        <v>31500</v>
      </c>
      <c r="O18" s="65">
        <f t="shared" si="1"/>
        <v>31500</v>
      </c>
      <c r="P18" s="66">
        <f>M18*(1+Input!$C$59)</f>
        <v>33075</v>
      </c>
      <c r="Q18" s="66">
        <f>N18*(1+Input!$C$59)</f>
        <v>33075</v>
      </c>
      <c r="R18" s="66">
        <f>O18*(1+Input!$C$59)</f>
        <v>33075</v>
      </c>
      <c r="S18" s="66">
        <f>P18*(1+Input!$C$59)</f>
        <v>34728.75</v>
      </c>
      <c r="T18" s="66">
        <f>Q18*(1+Input!$C$59)</f>
        <v>34728.75</v>
      </c>
      <c r="U18" s="66">
        <f>R18*(1+Input!$C$59)</f>
        <v>34728.75</v>
      </c>
      <c r="V18" s="66">
        <f>S18*(1+Input!$C$59)</f>
        <v>36465.1875</v>
      </c>
      <c r="W18" s="66">
        <f>T18*(1+Input!$C$59)</f>
        <v>36465.1875</v>
      </c>
      <c r="X18" s="66">
        <f>U18*(1+Input!$C$59)</f>
        <v>36465.1875</v>
      </c>
      <c r="Y18" s="66">
        <f>V18*(1+Input!$C$59)</f>
        <v>38288.446875000001</v>
      </c>
      <c r="Z18" s="66">
        <f>W18*(1+Input!$C$59)</f>
        <v>38288.446875000001</v>
      </c>
      <c r="AA18" s="66">
        <f>X18*(1+Input!$C$59)</f>
        <v>38288.446875000001</v>
      </c>
      <c r="AB18" s="66">
        <f>Y18*(1+Input!$C$59)</f>
        <v>40202.869218750006</v>
      </c>
      <c r="AC18" s="66">
        <f>Z18*(1+Input!$C$59)</f>
        <v>40202.869218750006</v>
      </c>
      <c r="AD18" s="66">
        <f>AA18*(1+Input!$C$59)</f>
        <v>40202.869218750006</v>
      </c>
      <c r="AE18" s="66">
        <f>AB18*(1+Input!$C$59)</f>
        <v>42213.012679687505</v>
      </c>
      <c r="AF18" s="66">
        <f>AC18*(1+Input!$C$59)</f>
        <v>42213.012679687505</v>
      </c>
      <c r="AG18" s="66">
        <f>AD18*(1+Input!$C$59)</f>
        <v>42213.012679687505</v>
      </c>
      <c r="AH18" s="66">
        <f>AE18*(1+Input!$C$59)</f>
        <v>44323.663313671881</v>
      </c>
      <c r="AI18" s="66">
        <f>AF18*(1+Input!$C$59)</f>
        <v>44323.663313671881</v>
      </c>
      <c r="AJ18" s="66">
        <f>AG18*(1+Input!$C$59)</f>
        <v>44323.663313671881</v>
      </c>
    </row>
    <row r="19" spans="5:36" x14ac:dyDescent="0.25">
      <c r="E19" t="str">
        <f>Input!A73</f>
        <v>Year 8</v>
      </c>
      <c r="F19" s="22">
        <f>Input!B73</f>
        <v>2</v>
      </c>
      <c r="G19" s="22">
        <f>Input!C73</f>
        <v>3</v>
      </c>
      <c r="H19" s="22">
        <f>Input!D73</f>
        <v>3000</v>
      </c>
      <c r="J19" s="47">
        <f t="shared" si="2"/>
        <v>21000</v>
      </c>
      <c r="K19" s="65">
        <f t="shared" si="0"/>
        <v>21000</v>
      </c>
      <c r="L19" s="65">
        <f t="shared" si="0"/>
        <v>21000</v>
      </c>
      <c r="M19" s="65">
        <f t="shared" si="3"/>
        <v>31500</v>
      </c>
      <c r="N19" s="65">
        <f t="shared" si="3"/>
        <v>31500</v>
      </c>
      <c r="O19" s="65">
        <f t="shared" si="3"/>
        <v>31500</v>
      </c>
      <c r="P19" s="66">
        <f>M19*(1+Input!$C$59)</f>
        <v>33075</v>
      </c>
      <c r="Q19" s="66">
        <f>N19*(1+Input!$C$59)</f>
        <v>33075</v>
      </c>
      <c r="R19" s="66">
        <f>O19*(1+Input!$C$59)</f>
        <v>33075</v>
      </c>
      <c r="S19" s="66">
        <f>P19*(1+Input!$C$59)</f>
        <v>34728.75</v>
      </c>
      <c r="T19" s="66">
        <f>Q19*(1+Input!$C$59)</f>
        <v>34728.75</v>
      </c>
      <c r="U19" s="66">
        <f>R19*(1+Input!$C$59)</f>
        <v>34728.75</v>
      </c>
      <c r="V19" s="66">
        <f>S19*(1+Input!$C$59)</f>
        <v>36465.1875</v>
      </c>
      <c r="W19" s="66">
        <f>T19*(1+Input!$C$59)</f>
        <v>36465.1875</v>
      </c>
      <c r="X19" s="66">
        <f>U19*(1+Input!$C$59)</f>
        <v>36465.1875</v>
      </c>
      <c r="Y19" s="66">
        <f>V19*(1+Input!$C$59)</f>
        <v>38288.446875000001</v>
      </c>
      <c r="Z19" s="66">
        <f>W19*(1+Input!$C$59)</f>
        <v>38288.446875000001</v>
      </c>
      <c r="AA19" s="66">
        <f>X19*(1+Input!$C$59)</f>
        <v>38288.446875000001</v>
      </c>
      <c r="AB19" s="66">
        <f>Y19*(1+Input!$C$59)</f>
        <v>40202.869218750006</v>
      </c>
      <c r="AC19" s="66">
        <f>Z19*(1+Input!$C$59)</f>
        <v>40202.869218750006</v>
      </c>
      <c r="AD19" s="66">
        <f>AA19*(1+Input!$C$59)</f>
        <v>40202.869218750006</v>
      </c>
      <c r="AE19" s="66">
        <f>AB19*(1+Input!$C$59)</f>
        <v>42213.012679687505</v>
      </c>
      <c r="AF19" s="66">
        <f>AC19*(1+Input!$C$59)</f>
        <v>42213.012679687505</v>
      </c>
      <c r="AG19" s="66">
        <f>AD19*(1+Input!$C$59)</f>
        <v>42213.012679687505</v>
      </c>
      <c r="AH19" s="66">
        <f>AE19*(1+Input!$C$59)</f>
        <v>44323.663313671881</v>
      </c>
      <c r="AI19" s="66">
        <f>AF19*(1+Input!$C$59)</f>
        <v>44323.663313671881</v>
      </c>
      <c r="AJ19" s="66">
        <f>AG19*(1+Input!$C$59)</f>
        <v>44323.663313671881</v>
      </c>
    </row>
    <row r="20" spans="5:36" x14ac:dyDescent="0.25">
      <c r="E20" t="str">
        <f>Input!A74</f>
        <v>Year 9</v>
      </c>
      <c r="F20" s="22">
        <f>Input!B74</f>
        <v>2</v>
      </c>
      <c r="G20" s="22">
        <f>Input!C74</f>
        <v>3</v>
      </c>
      <c r="H20" s="22">
        <f>Input!D74</f>
        <v>3000</v>
      </c>
      <c r="J20" s="47">
        <f t="shared" si="2"/>
        <v>21000</v>
      </c>
      <c r="K20" s="65">
        <f t="shared" si="0"/>
        <v>21000</v>
      </c>
      <c r="L20" s="65">
        <f t="shared" si="0"/>
        <v>21000</v>
      </c>
      <c r="M20" s="65">
        <f t="shared" si="3"/>
        <v>31500</v>
      </c>
      <c r="N20" s="65">
        <f t="shared" si="3"/>
        <v>31500</v>
      </c>
      <c r="O20" s="65">
        <f t="shared" si="3"/>
        <v>31500</v>
      </c>
      <c r="P20" s="66">
        <f>M20*(1+Input!$C$59)</f>
        <v>33075</v>
      </c>
      <c r="Q20" s="66">
        <f>N20*(1+Input!$C$59)</f>
        <v>33075</v>
      </c>
      <c r="R20" s="66">
        <f>O20*(1+Input!$C$59)</f>
        <v>33075</v>
      </c>
      <c r="S20" s="66">
        <f>P20*(1+Input!$C$59)</f>
        <v>34728.75</v>
      </c>
      <c r="T20" s="66">
        <f>Q20*(1+Input!$C$59)</f>
        <v>34728.75</v>
      </c>
      <c r="U20" s="66">
        <f>R20*(1+Input!$C$59)</f>
        <v>34728.75</v>
      </c>
      <c r="V20" s="66">
        <f>S20*(1+Input!$C$59)</f>
        <v>36465.1875</v>
      </c>
      <c r="W20" s="66">
        <f>T20*(1+Input!$C$59)</f>
        <v>36465.1875</v>
      </c>
      <c r="X20" s="66">
        <f>U20*(1+Input!$C$59)</f>
        <v>36465.1875</v>
      </c>
      <c r="Y20" s="66">
        <f>V20*(1+Input!$C$59)</f>
        <v>38288.446875000001</v>
      </c>
      <c r="Z20" s="66">
        <f>W20*(1+Input!$C$59)</f>
        <v>38288.446875000001</v>
      </c>
      <c r="AA20" s="66">
        <f>X20*(1+Input!$C$59)</f>
        <v>38288.446875000001</v>
      </c>
      <c r="AB20" s="66">
        <f>Y20*(1+Input!$C$59)</f>
        <v>40202.869218750006</v>
      </c>
      <c r="AC20" s="66">
        <f>Z20*(1+Input!$C$59)</f>
        <v>40202.869218750006</v>
      </c>
      <c r="AD20" s="66">
        <f>AA20*(1+Input!$C$59)</f>
        <v>40202.869218750006</v>
      </c>
      <c r="AE20" s="66">
        <f>AB20*(1+Input!$C$59)</f>
        <v>42213.012679687505</v>
      </c>
      <c r="AF20" s="66">
        <f>AC20*(1+Input!$C$59)</f>
        <v>42213.012679687505</v>
      </c>
      <c r="AG20" s="66">
        <f>AD20*(1+Input!$C$59)</f>
        <v>42213.012679687505</v>
      </c>
      <c r="AH20" s="66">
        <f>AE20*(1+Input!$C$59)</f>
        <v>44323.663313671881</v>
      </c>
      <c r="AI20" s="66">
        <f>AF20*(1+Input!$C$59)</f>
        <v>44323.663313671881</v>
      </c>
      <c r="AJ20" s="66">
        <f>AG20*(1+Input!$C$59)</f>
        <v>44323.663313671881</v>
      </c>
    </row>
    <row r="21" spans="5:36" x14ac:dyDescent="0.25">
      <c r="E21" t="str">
        <f>Input!A75</f>
        <v>Year 10</v>
      </c>
      <c r="F21" s="22">
        <f>Input!B75</f>
        <v>2</v>
      </c>
      <c r="G21" s="22">
        <f>Input!C75</f>
        <v>3</v>
      </c>
      <c r="H21" s="22">
        <f>Input!D75</f>
        <v>3500</v>
      </c>
      <c r="J21" s="47">
        <f t="shared" si="2"/>
        <v>24500</v>
      </c>
      <c r="K21" s="65">
        <f t="shared" si="0"/>
        <v>24500</v>
      </c>
      <c r="L21" s="65">
        <f t="shared" si="0"/>
        <v>24500</v>
      </c>
      <c r="M21" s="65">
        <f t="shared" si="3"/>
        <v>36750</v>
      </c>
      <c r="N21" s="65">
        <f t="shared" si="3"/>
        <v>36750</v>
      </c>
      <c r="O21" s="65">
        <f t="shared" si="3"/>
        <v>36750</v>
      </c>
      <c r="P21" s="66">
        <f>M21*(1+Input!$C$59)</f>
        <v>38587.5</v>
      </c>
      <c r="Q21" s="66">
        <f>N21*(1+Input!$C$59)</f>
        <v>38587.5</v>
      </c>
      <c r="R21" s="66">
        <f>O21*(1+Input!$C$59)</f>
        <v>38587.5</v>
      </c>
      <c r="S21" s="66">
        <f>P21*(1+Input!$C$59)</f>
        <v>40516.875</v>
      </c>
      <c r="T21" s="66">
        <f>Q21*(1+Input!$C$59)</f>
        <v>40516.875</v>
      </c>
      <c r="U21" s="66">
        <f>R21*(1+Input!$C$59)</f>
        <v>40516.875</v>
      </c>
      <c r="V21" s="66">
        <f>S21*(1+Input!$C$59)</f>
        <v>42542.71875</v>
      </c>
      <c r="W21" s="66">
        <f>T21*(1+Input!$C$59)</f>
        <v>42542.71875</v>
      </c>
      <c r="X21" s="66">
        <f>U21*(1+Input!$C$59)</f>
        <v>42542.71875</v>
      </c>
      <c r="Y21" s="66">
        <f>V21*(1+Input!$C$59)</f>
        <v>44669.854687500003</v>
      </c>
      <c r="Z21" s="66">
        <f>W21*(1+Input!$C$59)</f>
        <v>44669.854687500003</v>
      </c>
      <c r="AA21" s="66">
        <f>X21*(1+Input!$C$59)</f>
        <v>44669.854687500003</v>
      </c>
      <c r="AB21" s="66">
        <f>Y21*(1+Input!$C$59)</f>
        <v>46903.347421875005</v>
      </c>
      <c r="AC21" s="66">
        <f>Z21*(1+Input!$C$59)</f>
        <v>46903.347421875005</v>
      </c>
      <c r="AD21" s="66">
        <f>AA21*(1+Input!$C$59)</f>
        <v>46903.347421875005</v>
      </c>
      <c r="AE21" s="66">
        <f>AB21*(1+Input!$C$59)</f>
        <v>49248.514792968759</v>
      </c>
      <c r="AF21" s="66">
        <f>AC21*(1+Input!$C$59)</f>
        <v>49248.514792968759</v>
      </c>
      <c r="AG21" s="66">
        <f>AD21*(1+Input!$C$59)</f>
        <v>49248.514792968759</v>
      </c>
      <c r="AH21" s="66">
        <f>AE21*(1+Input!$C$59)</f>
        <v>51710.940532617198</v>
      </c>
      <c r="AI21" s="66">
        <f>AF21*(1+Input!$C$59)</f>
        <v>51710.940532617198</v>
      </c>
      <c r="AJ21" s="66">
        <f>AG21*(1+Input!$C$59)</f>
        <v>51710.940532617198</v>
      </c>
    </row>
    <row r="22" spans="5:36" x14ac:dyDescent="0.25">
      <c r="E22" t="str">
        <f>Input!A76</f>
        <v>Year 11</v>
      </c>
      <c r="F22" s="22">
        <f>Input!B76</f>
        <v>2</v>
      </c>
      <c r="G22" s="22">
        <f>Input!C76</f>
        <v>3</v>
      </c>
      <c r="H22" s="22">
        <f>Input!D76</f>
        <v>3500</v>
      </c>
      <c r="J22" s="47">
        <f t="shared" si="2"/>
        <v>24500</v>
      </c>
      <c r="K22" s="65">
        <f t="shared" si="0"/>
        <v>24500</v>
      </c>
      <c r="L22" s="65">
        <f t="shared" si="0"/>
        <v>24500</v>
      </c>
      <c r="M22" s="65">
        <f t="shared" si="3"/>
        <v>36750</v>
      </c>
      <c r="N22" s="65">
        <f t="shared" si="3"/>
        <v>36750</v>
      </c>
      <c r="O22" s="65">
        <f t="shared" si="3"/>
        <v>36750</v>
      </c>
      <c r="P22" s="66">
        <f>M22*(1+Input!$C$59)</f>
        <v>38587.5</v>
      </c>
      <c r="Q22" s="66">
        <f>N22*(1+Input!$C$59)</f>
        <v>38587.5</v>
      </c>
      <c r="R22" s="66">
        <f>O22*(1+Input!$C$59)</f>
        <v>38587.5</v>
      </c>
      <c r="S22" s="66">
        <f>P22*(1+Input!$C$59)</f>
        <v>40516.875</v>
      </c>
      <c r="T22" s="66">
        <f>Q22*(1+Input!$C$59)</f>
        <v>40516.875</v>
      </c>
      <c r="U22" s="66">
        <f>R22*(1+Input!$C$59)</f>
        <v>40516.875</v>
      </c>
      <c r="V22" s="66">
        <f>S22*(1+Input!$C$59)</f>
        <v>42542.71875</v>
      </c>
      <c r="W22" s="66">
        <f>T22*(1+Input!$C$59)</f>
        <v>42542.71875</v>
      </c>
      <c r="X22" s="66">
        <f>U22*(1+Input!$C$59)</f>
        <v>42542.71875</v>
      </c>
      <c r="Y22" s="66">
        <f>V22*(1+Input!$C$59)</f>
        <v>44669.854687500003</v>
      </c>
      <c r="Z22" s="66">
        <f>W22*(1+Input!$C$59)</f>
        <v>44669.854687500003</v>
      </c>
      <c r="AA22" s="66">
        <f>X22*(1+Input!$C$59)</f>
        <v>44669.854687500003</v>
      </c>
      <c r="AB22" s="66">
        <f>Y22*(1+Input!$C$59)</f>
        <v>46903.347421875005</v>
      </c>
      <c r="AC22" s="66">
        <f>Z22*(1+Input!$C$59)</f>
        <v>46903.347421875005</v>
      </c>
      <c r="AD22" s="66">
        <f>AA22*(1+Input!$C$59)</f>
        <v>46903.347421875005</v>
      </c>
      <c r="AE22" s="66">
        <f>AB22*(1+Input!$C$59)</f>
        <v>49248.514792968759</v>
      </c>
      <c r="AF22" s="66">
        <f>AC22*(1+Input!$C$59)</f>
        <v>49248.514792968759</v>
      </c>
      <c r="AG22" s="66">
        <f>AD22*(1+Input!$C$59)</f>
        <v>49248.514792968759</v>
      </c>
      <c r="AH22" s="66">
        <f>AE22*(1+Input!$C$59)</f>
        <v>51710.940532617198</v>
      </c>
      <c r="AI22" s="66">
        <f>AF22*(1+Input!$C$59)</f>
        <v>51710.940532617198</v>
      </c>
      <c r="AJ22" s="66">
        <f>AG22*(1+Input!$C$59)</f>
        <v>51710.940532617198</v>
      </c>
    </row>
    <row r="23" spans="5:36" x14ac:dyDescent="0.25">
      <c r="E23" t="str">
        <f>Input!A77</f>
        <v>Year 12</v>
      </c>
      <c r="F23" s="22">
        <f>Input!B77</f>
        <v>2</v>
      </c>
      <c r="G23" s="22">
        <f>Input!C77</f>
        <v>4</v>
      </c>
      <c r="H23" s="22">
        <f>Input!D77</f>
        <v>3500</v>
      </c>
      <c r="J23" s="47">
        <f t="shared" si="2"/>
        <v>24500</v>
      </c>
      <c r="K23" s="65">
        <f t="shared" si="2"/>
        <v>24500</v>
      </c>
      <c r="L23" s="65">
        <f t="shared" si="2"/>
        <v>24500</v>
      </c>
      <c r="M23" s="65">
        <f t="shared" si="3"/>
        <v>49000</v>
      </c>
      <c r="N23" s="65">
        <f t="shared" si="3"/>
        <v>49000</v>
      </c>
      <c r="O23" s="65">
        <f t="shared" si="3"/>
        <v>49000</v>
      </c>
      <c r="P23" s="66">
        <f>M23*(1+Input!$C$59)</f>
        <v>51450</v>
      </c>
      <c r="Q23" s="66">
        <f>N23*(1+Input!$C$59)</f>
        <v>51450</v>
      </c>
      <c r="R23" s="66">
        <f>O23*(1+Input!$C$59)</f>
        <v>51450</v>
      </c>
      <c r="S23" s="66">
        <f>P23*(1+Input!$C$59)</f>
        <v>54022.5</v>
      </c>
      <c r="T23" s="66">
        <f>Q23*(1+Input!$C$59)</f>
        <v>54022.5</v>
      </c>
      <c r="U23" s="66">
        <f>R23*(1+Input!$C$59)</f>
        <v>54022.5</v>
      </c>
      <c r="V23" s="66">
        <f>S23*(1+Input!$C$59)</f>
        <v>56723.625</v>
      </c>
      <c r="W23" s="66">
        <f>T23*(1+Input!$C$59)</f>
        <v>56723.625</v>
      </c>
      <c r="X23" s="66">
        <f>U23*(1+Input!$C$59)</f>
        <v>56723.625</v>
      </c>
      <c r="Y23" s="66">
        <f>V23*(1+Input!$C$59)</f>
        <v>59559.806250000001</v>
      </c>
      <c r="Z23" s="66">
        <f>W23*(1+Input!$C$59)</f>
        <v>59559.806250000001</v>
      </c>
      <c r="AA23" s="66">
        <f>X23*(1+Input!$C$59)</f>
        <v>59559.806250000001</v>
      </c>
      <c r="AB23" s="66">
        <f>Y23*(1+Input!$C$59)</f>
        <v>62537.796562500007</v>
      </c>
      <c r="AC23" s="66">
        <f>Z23*(1+Input!$C$59)</f>
        <v>62537.796562500007</v>
      </c>
      <c r="AD23" s="66">
        <f>AA23*(1+Input!$C$59)</f>
        <v>62537.796562500007</v>
      </c>
      <c r="AE23" s="66">
        <f>AB23*(1+Input!$C$59)</f>
        <v>65664.686390625007</v>
      </c>
      <c r="AF23" s="66">
        <f>AC23*(1+Input!$C$59)</f>
        <v>65664.686390625007</v>
      </c>
      <c r="AG23" s="66">
        <f>AD23*(1+Input!$C$59)</f>
        <v>65664.686390625007</v>
      </c>
      <c r="AH23" s="66">
        <f>AE23*(1+Input!$C$59)</f>
        <v>68947.920710156264</v>
      </c>
      <c r="AI23" s="66">
        <f>AF23*(1+Input!$C$59)</f>
        <v>68947.920710156264</v>
      </c>
      <c r="AJ23" s="66">
        <f>AG23*(1+Input!$C$59)</f>
        <v>68947.920710156264</v>
      </c>
    </row>
    <row r="24" spans="5:36" x14ac:dyDescent="0.25">
      <c r="E24" t="str">
        <f>Input!A78</f>
        <v>Year 13</v>
      </c>
      <c r="F24" s="22">
        <f>Input!B78</f>
        <v>2</v>
      </c>
      <c r="G24" s="22">
        <f>Input!C78</f>
        <v>4</v>
      </c>
      <c r="H24" s="22">
        <f>Input!D78</f>
        <v>3500</v>
      </c>
      <c r="J24" s="47">
        <f t="shared" si="2"/>
        <v>24500</v>
      </c>
      <c r="K24" s="65">
        <f t="shared" si="2"/>
        <v>24500</v>
      </c>
      <c r="L24" s="65">
        <f t="shared" si="2"/>
        <v>24500</v>
      </c>
      <c r="M24" s="65">
        <f t="shared" si="3"/>
        <v>49000</v>
      </c>
      <c r="N24" s="65">
        <f t="shared" si="3"/>
        <v>49000</v>
      </c>
      <c r="O24" s="65">
        <f t="shared" si="3"/>
        <v>49000</v>
      </c>
      <c r="P24" s="66">
        <f>M24*(1+Input!$C$59)</f>
        <v>51450</v>
      </c>
      <c r="Q24" s="66">
        <f>N24*(1+Input!$C$59)</f>
        <v>51450</v>
      </c>
      <c r="R24" s="66">
        <f>O24*(1+Input!$C$59)</f>
        <v>51450</v>
      </c>
      <c r="S24" s="66">
        <f>P24*(1+Input!$C$59)</f>
        <v>54022.5</v>
      </c>
      <c r="T24" s="66">
        <f>Q24*(1+Input!$C$59)</f>
        <v>54022.5</v>
      </c>
      <c r="U24" s="66">
        <f>R24*(1+Input!$C$59)</f>
        <v>54022.5</v>
      </c>
      <c r="V24" s="66">
        <f>S24*(1+Input!$C$59)</f>
        <v>56723.625</v>
      </c>
      <c r="W24" s="66">
        <f>T24*(1+Input!$C$59)</f>
        <v>56723.625</v>
      </c>
      <c r="X24" s="66">
        <f>U24*(1+Input!$C$59)</f>
        <v>56723.625</v>
      </c>
      <c r="Y24" s="66">
        <f>V24*(1+Input!$C$59)</f>
        <v>59559.806250000001</v>
      </c>
      <c r="Z24" s="66">
        <f>W24*(1+Input!$C$59)</f>
        <v>59559.806250000001</v>
      </c>
      <c r="AA24" s="66">
        <f>X24*(1+Input!$C$59)</f>
        <v>59559.806250000001</v>
      </c>
      <c r="AB24" s="66">
        <f>Y24*(1+Input!$C$59)</f>
        <v>62537.796562500007</v>
      </c>
      <c r="AC24" s="66">
        <f>Z24*(1+Input!$C$59)</f>
        <v>62537.796562500007</v>
      </c>
      <c r="AD24" s="66">
        <f>AA24*(1+Input!$C$59)</f>
        <v>62537.796562500007</v>
      </c>
      <c r="AE24" s="66">
        <f>AB24*(1+Input!$C$59)</f>
        <v>65664.686390625007</v>
      </c>
      <c r="AF24" s="66">
        <f>AC24*(1+Input!$C$59)</f>
        <v>65664.686390625007</v>
      </c>
      <c r="AG24" s="66">
        <f>AD24*(1+Input!$C$59)</f>
        <v>65664.686390625007</v>
      </c>
      <c r="AH24" s="66">
        <f>AE24*(1+Input!$C$59)</f>
        <v>68947.920710156264</v>
      </c>
      <c r="AI24" s="66">
        <f>AF24*(1+Input!$C$59)</f>
        <v>68947.920710156264</v>
      </c>
      <c r="AJ24" s="66">
        <f>AG24*(1+Input!$C$59)</f>
        <v>68947.920710156264</v>
      </c>
    </row>
    <row r="25" spans="5:36" x14ac:dyDescent="0.25">
      <c r="E25" t="str">
        <f>Input!A79</f>
        <v>Year 14</v>
      </c>
      <c r="F25" s="22">
        <f>Input!B79</f>
        <v>2</v>
      </c>
      <c r="G25" s="22">
        <f>Input!C79</f>
        <v>4</v>
      </c>
      <c r="H25" s="22">
        <f>Input!D79</f>
        <v>3500</v>
      </c>
      <c r="J25" s="47">
        <f t="shared" si="2"/>
        <v>24500</v>
      </c>
      <c r="K25" s="65">
        <f t="shared" si="2"/>
        <v>24500</v>
      </c>
      <c r="L25" s="65">
        <f t="shared" si="2"/>
        <v>24500</v>
      </c>
      <c r="M25" s="65">
        <f t="shared" si="3"/>
        <v>49000</v>
      </c>
      <c r="N25" s="65">
        <f t="shared" si="3"/>
        <v>49000</v>
      </c>
      <c r="O25" s="65">
        <f t="shared" si="3"/>
        <v>49000</v>
      </c>
      <c r="P25" s="66">
        <f>M25*(1+Input!$C$59)</f>
        <v>51450</v>
      </c>
      <c r="Q25" s="66">
        <f>N25*(1+Input!$C$59)</f>
        <v>51450</v>
      </c>
      <c r="R25" s="66">
        <f>O25*(1+Input!$C$59)</f>
        <v>51450</v>
      </c>
      <c r="S25" s="66">
        <f>P25*(1+Input!$C$59)</f>
        <v>54022.5</v>
      </c>
      <c r="T25" s="66">
        <f>Q25*(1+Input!$C$59)</f>
        <v>54022.5</v>
      </c>
      <c r="U25" s="66">
        <f>R25*(1+Input!$C$59)</f>
        <v>54022.5</v>
      </c>
      <c r="V25" s="66">
        <f>S25*(1+Input!$C$59)</f>
        <v>56723.625</v>
      </c>
      <c r="W25" s="66">
        <f>T25*(1+Input!$C$59)</f>
        <v>56723.625</v>
      </c>
      <c r="X25" s="66">
        <f>U25*(1+Input!$C$59)</f>
        <v>56723.625</v>
      </c>
      <c r="Y25" s="66">
        <f>V25*(1+Input!$C$59)</f>
        <v>59559.806250000001</v>
      </c>
      <c r="Z25" s="66">
        <f>W25*(1+Input!$C$59)</f>
        <v>59559.806250000001</v>
      </c>
      <c r="AA25" s="66">
        <f>X25*(1+Input!$C$59)</f>
        <v>59559.806250000001</v>
      </c>
      <c r="AB25" s="66">
        <f>Y25*(1+Input!$C$59)</f>
        <v>62537.796562500007</v>
      </c>
      <c r="AC25" s="66">
        <f>Z25*(1+Input!$C$59)</f>
        <v>62537.796562500007</v>
      </c>
      <c r="AD25" s="66">
        <f>AA25*(1+Input!$C$59)</f>
        <v>62537.796562500007</v>
      </c>
      <c r="AE25" s="66">
        <f>AB25*(1+Input!$C$59)</f>
        <v>65664.686390625007</v>
      </c>
      <c r="AF25" s="66">
        <f>AC25*(1+Input!$C$59)</f>
        <v>65664.686390625007</v>
      </c>
      <c r="AG25" s="66">
        <f>AD25*(1+Input!$C$59)</f>
        <v>65664.686390625007</v>
      </c>
      <c r="AH25" s="66">
        <f>AE25*(1+Input!$C$59)</f>
        <v>68947.920710156264</v>
      </c>
      <c r="AI25" s="66">
        <f>AF25*(1+Input!$C$59)</f>
        <v>68947.920710156264</v>
      </c>
      <c r="AJ25" s="66">
        <f>AG25*(1+Input!$C$59)</f>
        <v>68947.920710156264</v>
      </c>
    </row>
    <row r="26" spans="5:36" x14ac:dyDescent="0.25">
      <c r="E26" t="str">
        <f>Input!A80</f>
        <v>Teaching Asst.</v>
      </c>
      <c r="F26" s="22">
        <f>Input!B80</f>
        <v>1</v>
      </c>
      <c r="G26" s="22">
        <f>Input!C80</f>
        <v>2</v>
      </c>
      <c r="H26" s="22">
        <f>Input!D80</f>
        <v>2000</v>
      </c>
      <c r="J26" s="47">
        <f t="shared" si="2"/>
        <v>7000</v>
      </c>
      <c r="K26" s="65">
        <f t="shared" si="2"/>
        <v>7000</v>
      </c>
      <c r="L26" s="65">
        <f t="shared" si="2"/>
        <v>7000</v>
      </c>
      <c r="M26" s="65">
        <f t="shared" si="3"/>
        <v>14000</v>
      </c>
      <c r="N26" s="65">
        <f t="shared" si="3"/>
        <v>14000</v>
      </c>
      <c r="O26" s="65">
        <f t="shared" si="3"/>
        <v>14000</v>
      </c>
      <c r="P26" s="66">
        <f>M26*(1+Input!$C$59)</f>
        <v>14700</v>
      </c>
      <c r="Q26" s="66">
        <f>N26*(1+Input!$C$59)</f>
        <v>14700</v>
      </c>
      <c r="R26" s="66">
        <f>O26*(1+Input!$C$59)</f>
        <v>14700</v>
      </c>
      <c r="S26" s="66">
        <f>P26*(1+Input!$C$59)</f>
        <v>15435</v>
      </c>
      <c r="T26" s="66">
        <f>Q26*(1+Input!$C$59)</f>
        <v>15435</v>
      </c>
      <c r="U26" s="66">
        <f>R26*(1+Input!$C$59)</f>
        <v>15435</v>
      </c>
      <c r="V26" s="66">
        <f>S26*(1+Input!$C$59)</f>
        <v>16206.75</v>
      </c>
      <c r="W26" s="66">
        <f>T26*(1+Input!$C$59)</f>
        <v>16206.75</v>
      </c>
      <c r="X26" s="66">
        <f>U26*(1+Input!$C$59)</f>
        <v>16206.75</v>
      </c>
      <c r="Y26" s="66">
        <f>V26*(1+Input!$C$59)</f>
        <v>17017.087500000001</v>
      </c>
      <c r="Z26" s="66">
        <f>W26*(1+Input!$C$59)</f>
        <v>17017.087500000001</v>
      </c>
      <c r="AA26" s="66">
        <f>X26*(1+Input!$C$59)</f>
        <v>17017.087500000001</v>
      </c>
      <c r="AB26" s="66">
        <f>Y26*(1+Input!$C$59)</f>
        <v>17867.941875000004</v>
      </c>
      <c r="AC26" s="66">
        <f>Z26*(1+Input!$C$59)</f>
        <v>17867.941875000004</v>
      </c>
      <c r="AD26" s="66">
        <f>AA26*(1+Input!$C$59)</f>
        <v>17867.941875000004</v>
      </c>
      <c r="AE26" s="66">
        <f>AB26*(1+Input!$C$59)</f>
        <v>18761.338968750006</v>
      </c>
      <c r="AF26" s="66">
        <f>AC26*(1+Input!$C$59)</f>
        <v>18761.338968750006</v>
      </c>
      <c r="AG26" s="66">
        <f>AD26*(1+Input!$C$59)</f>
        <v>18761.338968750006</v>
      </c>
      <c r="AH26" s="66">
        <f>AE26*(1+Input!$C$59)</f>
        <v>19699.405917187505</v>
      </c>
      <c r="AI26" s="66">
        <f>AF26*(1+Input!$C$59)</f>
        <v>19699.405917187505</v>
      </c>
      <c r="AJ26" s="66">
        <f>AG26*(1+Input!$C$59)</f>
        <v>19699.405917187505</v>
      </c>
    </row>
    <row r="27" spans="5:36" x14ac:dyDescent="0.25">
      <c r="E27" t="str">
        <f>Input!A81</f>
        <v xml:space="preserve">Librarian &amp; Matron, </v>
      </c>
      <c r="F27" s="22">
        <f>Input!B81</f>
        <v>1</v>
      </c>
      <c r="G27" s="22">
        <f>Input!C81</f>
        <v>2</v>
      </c>
      <c r="H27" s="22">
        <f>Input!D81</f>
        <v>2000</v>
      </c>
      <c r="J27" s="47">
        <f t="shared" si="2"/>
        <v>7000</v>
      </c>
      <c r="K27" s="65">
        <f t="shared" si="2"/>
        <v>7000</v>
      </c>
      <c r="L27" s="65">
        <f t="shared" si="2"/>
        <v>7000</v>
      </c>
      <c r="M27" s="65">
        <f t="shared" si="3"/>
        <v>14000</v>
      </c>
      <c r="N27" s="65">
        <f t="shared" si="3"/>
        <v>14000</v>
      </c>
      <c r="O27" s="65">
        <f t="shared" si="3"/>
        <v>14000</v>
      </c>
      <c r="P27" s="66">
        <f>M27*(1+Input!$C$59)</f>
        <v>14700</v>
      </c>
      <c r="Q27" s="66">
        <f>N27*(1+Input!$C$59)</f>
        <v>14700</v>
      </c>
      <c r="R27" s="66">
        <f>O27*(1+Input!$C$59)</f>
        <v>14700</v>
      </c>
      <c r="S27" s="66">
        <f>P27*(1+Input!$C$59)</f>
        <v>15435</v>
      </c>
      <c r="T27" s="66">
        <f>Q27*(1+Input!$C$59)</f>
        <v>15435</v>
      </c>
      <c r="U27" s="66">
        <f>R27*(1+Input!$C$59)</f>
        <v>15435</v>
      </c>
      <c r="V27" s="66">
        <f>S27*(1+Input!$C$59)</f>
        <v>16206.75</v>
      </c>
      <c r="W27" s="66">
        <f>T27*(1+Input!$C$59)</f>
        <v>16206.75</v>
      </c>
      <c r="X27" s="66">
        <f>U27*(1+Input!$C$59)</f>
        <v>16206.75</v>
      </c>
      <c r="Y27" s="66">
        <f>V27*(1+Input!$C$59)</f>
        <v>17017.087500000001</v>
      </c>
      <c r="Z27" s="66">
        <f>W27*(1+Input!$C$59)</f>
        <v>17017.087500000001</v>
      </c>
      <c r="AA27" s="66">
        <f>X27*(1+Input!$C$59)</f>
        <v>17017.087500000001</v>
      </c>
      <c r="AB27" s="66">
        <f>Y27*(1+Input!$C$59)</f>
        <v>17867.941875000004</v>
      </c>
      <c r="AC27" s="66">
        <f>Z27*(1+Input!$C$59)</f>
        <v>17867.941875000004</v>
      </c>
      <c r="AD27" s="66">
        <f>AA27*(1+Input!$C$59)</f>
        <v>17867.941875000004</v>
      </c>
      <c r="AE27" s="66">
        <f>AB27*(1+Input!$C$59)</f>
        <v>18761.338968750006</v>
      </c>
      <c r="AF27" s="66">
        <f>AC27*(1+Input!$C$59)</f>
        <v>18761.338968750006</v>
      </c>
      <c r="AG27" s="66">
        <f>AD27*(1+Input!$C$59)</f>
        <v>18761.338968750006</v>
      </c>
      <c r="AH27" s="66">
        <f>AE27*(1+Input!$C$59)</f>
        <v>19699.405917187505</v>
      </c>
      <c r="AI27" s="66">
        <f>AF27*(1+Input!$C$59)</f>
        <v>19699.405917187505</v>
      </c>
      <c r="AJ27" s="66">
        <f>AG27*(1+Input!$C$59)</f>
        <v>19699.405917187505</v>
      </c>
    </row>
    <row r="28" spans="5:36" x14ac:dyDescent="0.25">
      <c r="E28" t="str">
        <f>Input!A82</f>
        <v>Guidance  &amp; Counselling</v>
      </c>
      <c r="F28" s="22">
        <f>Input!B82</f>
        <v>1</v>
      </c>
      <c r="G28" s="22">
        <f>Input!C82</f>
        <v>2</v>
      </c>
      <c r="H28" s="22">
        <f>Input!D82</f>
        <v>3000</v>
      </c>
      <c r="J28" s="47">
        <f t="shared" si="2"/>
        <v>10500</v>
      </c>
      <c r="K28" s="65">
        <f t="shared" si="2"/>
        <v>10500</v>
      </c>
      <c r="L28" s="65">
        <f t="shared" si="2"/>
        <v>10500</v>
      </c>
      <c r="M28" s="65">
        <f t="shared" si="3"/>
        <v>21000</v>
      </c>
      <c r="N28" s="65">
        <f t="shared" si="3"/>
        <v>21000</v>
      </c>
      <c r="O28" s="65">
        <f t="shared" si="3"/>
        <v>21000</v>
      </c>
      <c r="P28" s="66">
        <f>M28*(1+Input!$C$59)</f>
        <v>22050</v>
      </c>
      <c r="Q28" s="66">
        <f>N28*(1+Input!$C$59)</f>
        <v>22050</v>
      </c>
      <c r="R28" s="66">
        <f>O28*(1+Input!$C$59)</f>
        <v>22050</v>
      </c>
      <c r="S28" s="66">
        <f>P28*(1+Input!$C$59)</f>
        <v>23152.5</v>
      </c>
      <c r="T28" s="66">
        <f>Q28*(1+Input!$C$59)</f>
        <v>23152.5</v>
      </c>
      <c r="U28" s="66">
        <f>R28*(1+Input!$C$59)</f>
        <v>23152.5</v>
      </c>
      <c r="V28" s="66">
        <f>S28*(1+Input!$C$59)</f>
        <v>24310.125</v>
      </c>
      <c r="W28" s="66">
        <f>T28*(1+Input!$C$59)</f>
        <v>24310.125</v>
      </c>
      <c r="X28" s="66">
        <f>U28*(1+Input!$C$59)</f>
        <v>24310.125</v>
      </c>
      <c r="Y28" s="66">
        <f>V28*(1+Input!$C$59)</f>
        <v>25525.631250000002</v>
      </c>
      <c r="Z28" s="66">
        <f>W28*(1+Input!$C$59)</f>
        <v>25525.631250000002</v>
      </c>
      <c r="AA28" s="66">
        <f>X28*(1+Input!$C$59)</f>
        <v>25525.631250000002</v>
      </c>
      <c r="AB28" s="66">
        <f>Y28*(1+Input!$C$59)</f>
        <v>26801.912812500002</v>
      </c>
      <c r="AC28" s="66">
        <f>Z28*(1+Input!$C$59)</f>
        <v>26801.912812500002</v>
      </c>
      <c r="AD28" s="66">
        <f>AA28*(1+Input!$C$59)</f>
        <v>26801.912812500002</v>
      </c>
      <c r="AE28" s="66">
        <f>AB28*(1+Input!$C$59)</f>
        <v>28142.008453125003</v>
      </c>
      <c r="AF28" s="66">
        <f>AC28*(1+Input!$C$59)</f>
        <v>28142.008453125003</v>
      </c>
      <c r="AG28" s="66">
        <f>AD28*(1+Input!$C$59)</f>
        <v>28142.008453125003</v>
      </c>
      <c r="AH28" s="66">
        <f>AE28*(1+Input!$C$59)</f>
        <v>29549.108875781254</v>
      </c>
      <c r="AI28" s="66">
        <f>AF28*(1+Input!$C$59)</f>
        <v>29549.108875781254</v>
      </c>
      <c r="AJ28" s="66">
        <f>AG28*(1+Input!$C$59)</f>
        <v>29549.108875781254</v>
      </c>
    </row>
    <row r="29" spans="5:36" x14ac:dyDescent="0.25">
      <c r="E29" t="str">
        <f>Input!A83</f>
        <v>Agric. Inst.’R</v>
      </c>
      <c r="F29" s="22">
        <f>Input!B83</f>
        <v>1</v>
      </c>
      <c r="G29" s="22">
        <f>Input!C83</f>
        <v>1</v>
      </c>
      <c r="H29" s="22">
        <f>Input!D83</f>
        <v>3000</v>
      </c>
      <c r="J29" s="47">
        <f t="shared" si="2"/>
        <v>10500</v>
      </c>
      <c r="K29" s="65">
        <f t="shared" si="2"/>
        <v>10500</v>
      </c>
      <c r="L29" s="65">
        <f t="shared" si="2"/>
        <v>10500</v>
      </c>
      <c r="M29" s="65">
        <f t="shared" si="3"/>
        <v>10500</v>
      </c>
      <c r="N29" s="65">
        <f t="shared" si="3"/>
        <v>10500</v>
      </c>
      <c r="O29" s="65">
        <f t="shared" si="3"/>
        <v>10500</v>
      </c>
      <c r="P29" s="66">
        <f>M29*(1+Input!$C$59)</f>
        <v>11025</v>
      </c>
      <c r="Q29" s="66">
        <f>N29*(1+Input!$C$59)</f>
        <v>11025</v>
      </c>
      <c r="R29" s="66">
        <f>O29*(1+Input!$C$59)</f>
        <v>11025</v>
      </c>
      <c r="S29" s="66">
        <f>P29*(1+Input!$C$59)</f>
        <v>11576.25</v>
      </c>
      <c r="T29" s="66">
        <f>Q29*(1+Input!$C$59)</f>
        <v>11576.25</v>
      </c>
      <c r="U29" s="66">
        <f>R29*(1+Input!$C$59)</f>
        <v>11576.25</v>
      </c>
      <c r="V29" s="66">
        <f>S29*(1+Input!$C$59)</f>
        <v>12155.0625</v>
      </c>
      <c r="W29" s="66">
        <f>T29*(1+Input!$C$59)</f>
        <v>12155.0625</v>
      </c>
      <c r="X29" s="66">
        <f>U29*(1+Input!$C$59)</f>
        <v>12155.0625</v>
      </c>
      <c r="Y29" s="66">
        <f>V29*(1+Input!$C$59)</f>
        <v>12762.815625000001</v>
      </c>
      <c r="Z29" s="66">
        <f>W29*(1+Input!$C$59)</f>
        <v>12762.815625000001</v>
      </c>
      <c r="AA29" s="66">
        <f>X29*(1+Input!$C$59)</f>
        <v>12762.815625000001</v>
      </c>
      <c r="AB29" s="66">
        <f>Y29*(1+Input!$C$59)</f>
        <v>13400.956406250001</v>
      </c>
      <c r="AC29" s="66">
        <f>Z29*(1+Input!$C$59)</f>
        <v>13400.956406250001</v>
      </c>
      <c r="AD29" s="66">
        <f>AA29*(1+Input!$C$59)</f>
        <v>13400.956406250001</v>
      </c>
      <c r="AE29" s="66">
        <f>AB29*(1+Input!$C$59)</f>
        <v>14071.004226562502</v>
      </c>
      <c r="AF29" s="66">
        <f>AC29*(1+Input!$C$59)</f>
        <v>14071.004226562502</v>
      </c>
      <c r="AG29" s="66">
        <f>AD29*(1+Input!$C$59)</f>
        <v>14071.004226562502</v>
      </c>
      <c r="AH29" s="66">
        <f>AE29*(1+Input!$C$59)</f>
        <v>14774.554437890627</v>
      </c>
      <c r="AI29" s="66">
        <f>AF29*(1+Input!$C$59)</f>
        <v>14774.554437890627</v>
      </c>
      <c r="AJ29" s="66">
        <f>AG29*(1+Input!$C$59)</f>
        <v>14774.554437890627</v>
      </c>
    </row>
    <row r="30" spans="5:36" x14ac:dyDescent="0.25">
      <c r="E30" t="str">
        <f>Input!A84</f>
        <v>Cooks</v>
      </c>
      <c r="F30" s="22">
        <f>Input!B84</f>
        <v>2</v>
      </c>
      <c r="G30" s="22">
        <f>Input!C84</f>
        <v>3</v>
      </c>
      <c r="H30" s="22">
        <f>Input!D84</f>
        <v>1300</v>
      </c>
      <c r="J30" s="47">
        <f t="shared" si="2"/>
        <v>9100</v>
      </c>
      <c r="K30" s="65">
        <f t="shared" si="2"/>
        <v>9100</v>
      </c>
      <c r="L30" s="65">
        <f t="shared" si="2"/>
        <v>9100</v>
      </c>
      <c r="M30" s="65">
        <f t="shared" si="3"/>
        <v>13650</v>
      </c>
      <c r="N30" s="65">
        <f t="shared" si="3"/>
        <v>13650</v>
      </c>
      <c r="O30" s="65">
        <f t="shared" si="3"/>
        <v>13650</v>
      </c>
      <c r="P30" s="66">
        <f>M30*(1+Input!$C$59)</f>
        <v>14332.5</v>
      </c>
      <c r="Q30" s="66">
        <f>N30*(1+Input!$C$59)</f>
        <v>14332.5</v>
      </c>
      <c r="R30" s="66">
        <f>O30*(1+Input!$C$59)</f>
        <v>14332.5</v>
      </c>
      <c r="S30" s="66">
        <f>P30*(1+Input!$C$59)</f>
        <v>15049.125</v>
      </c>
      <c r="T30" s="66">
        <f>Q30*(1+Input!$C$59)</f>
        <v>15049.125</v>
      </c>
      <c r="U30" s="66">
        <f>R30*(1+Input!$C$59)</f>
        <v>15049.125</v>
      </c>
      <c r="V30" s="66">
        <f>S30*(1+Input!$C$59)</f>
        <v>15801.581250000001</v>
      </c>
      <c r="W30" s="66">
        <f>T30*(1+Input!$C$59)</f>
        <v>15801.581250000001</v>
      </c>
      <c r="X30" s="66">
        <f>U30*(1+Input!$C$59)</f>
        <v>15801.581250000001</v>
      </c>
      <c r="Y30" s="66">
        <f>V30*(1+Input!$C$59)</f>
        <v>16591.6603125</v>
      </c>
      <c r="Z30" s="66">
        <f>W30*(1+Input!$C$59)</f>
        <v>16591.6603125</v>
      </c>
      <c r="AA30" s="66">
        <f>X30*(1+Input!$C$59)</f>
        <v>16591.6603125</v>
      </c>
      <c r="AB30" s="66">
        <f>Y30*(1+Input!$C$59)</f>
        <v>17421.243328125001</v>
      </c>
      <c r="AC30" s="66">
        <f>Z30*(1+Input!$C$59)</f>
        <v>17421.243328125001</v>
      </c>
      <c r="AD30" s="66">
        <f>AA30*(1+Input!$C$59)</f>
        <v>17421.243328125001</v>
      </c>
      <c r="AE30" s="66">
        <f>AB30*(1+Input!$C$59)</f>
        <v>18292.305494531251</v>
      </c>
      <c r="AF30" s="66">
        <f>AC30*(1+Input!$C$59)</f>
        <v>18292.305494531251</v>
      </c>
      <c r="AG30" s="66">
        <f>AD30*(1+Input!$C$59)</f>
        <v>18292.305494531251</v>
      </c>
      <c r="AH30" s="66">
        <f>AE30*(1+Input!$C$59)</f>
        <v>19206.920769257813</v>
      </c>
      <c r="AI30" s="66">
        <f>AF30*(1+Input!$C$59)</f>
        <v>19206.920769257813</v>
      </c>
      <c r="AJ30" s="66">
        <f>AG30*(1+Input!$C$59)</f>
        <v>19206.920769257813</v>
      </c>
    </row>
    <row r="31" spans="5:36" x14ac:dyDescent="0.25">
      <c r="E31" t="str">
        <f>Input!A85</f>
        <v>Weeder</v>
      </c>
      <c r="F31" s="22">
        <f>Input!B85</f>
        <v>1</v>
      </c>
      <c r="G31" s="22">
        <f>Input!C85</f>
        <v>1</v>
      </c>
      <c r="H31" s="22">
        <f>Input!D85</f>
        <v>1000</v>
      </c>
      <c r="J31" s="47">
        <f t="shared" si="2"/>
        <v>3500</v>
      </c>
      <c r="K31" s="65">
        <f t="shared" si="2"/>
        <v>3500</v>
      </c>
      <c r="L31" s="65">
        <f t="shared" si="2"/>
        <v>3500</v>
      </c>
      <c r="M31" s="65">
        <f t="shared" si="3"/>
        <v>3500</v>
      </c>
      <c r="N31" s="65">
        <f t="shared" si="3"/>
        <v>3500</v>
      </c>
      <c r="O31" s="65">
        <f t="shared" si="3"/>
        <v>3500</v>
      </c>
      <c r="P31" s="66">
        <f>M31*(1+Input!$C$59)</f>
        <v>3675</v>
      </c>
      <c r="Q31" s="66">
        <f>N31*(1+Input!$C$59)</f>
        <v>3675</v>
      </c>
      <c r="R31" s="66">
        <f>O31*(1+Input!$C$59)</f>
        <v>3675</v>
      </c>
      <c r="S31" s="66">
        <f>P31*(1+Input!$C$59)</f>
        <v>3858.75</v>
      </c>
      <c r="T31" s="66">
        <f>Q31*(1+Input!$C$59)</f>
        <v>3858.75</v>
      </c>
      <c r="U31" s="66">
        <f>R31*(1+Input!$C$59)</f>
        <v>3858.75</v>
      </c>
      <c r="V31" s="66">
        <f>S31*(1+Input!$C$59)</f>
        <v>4051.6875</v>
      </c>
      <c r="W31" s="66">
        <f>T31*(1+Input!$C$59)</f>
        <v>4051.6875</v>
      </c>
      <c r="X31" s="66">
        <f>U31*(1+Input!$C$59)</f>
        <v>4051.6875</v>
      </c>
      <c r="Y31" s="66">
        <f>V31*(1+Input!$C$59)</f>
        <v>4254.2718750000004</v>
      </c>
      <c r="Z31" s="66">
        <f>W31*(1+Input!$C$59)</f>
        <v>4254.2718750000004</v>
      </c>
      <c r="AA31" s="66">
        <f>X31*(1+Input!$C$59)</f>
        <v>4254.2718750000004</v>
      </c>
      <c r="AB31" s="66">
        <f>Y31*(1+Input!$C$59)</f>
        <v>4466.985468750001</v>
      </c>
      <c r="AC31" s="66">
        <f>Z31*(1+Input!$C$59)</f>
        <v>4466.985468750001</v>
      </c>
      <c r="AD31" s="66">
        <f>AA31*(1+Input!$C$59)</f>
        <v>4466.985468750001</v>
      </c>
      <c r="AE31" s="66">
        <f>AB31*(1+Input!$C$59)</f>
        <v>4690.3347421875014</v>
      </c>
      <c r="AF31" s="66">
        <f>AC31*(1+Input!$C$59)</f>
        <v>4690.3347421875014</v>
      </c>
      <c r="AG31" s="66">
        <f>AD31*(1+Input!$C$59)</f>
        <v>4690.3347421875014</v>
      </c>
      <c r="AH31" s="66">
        <f>AE31*(1+Input!$C$59)</f>
        <v>4924.8514792968763</v>
      </c>
      <c r="AI31" s="66">
        <f>AF31*(1+Input!$C$59)</f>
        <v>4924.8514792968763</v>
      </c>
      <c r="AJ31" s="66">
        <f>AG31*(1+Input!$C$59)</f>
        <v>4924.8514792968763</v>
      </c>
    </row>
    <row r="32" spans="5:36" x14ac:dyDescent="0.25">
      <c r="E32" t="str">
        <f>Input!A86</f>
        <v>Cleaners</v>
      </c>
      <c r="F32" s="22">
        <f>Input!B86</f>
        <v>2</v>
      </c>
      <c r="G32" s="22">
        <f>Input!C86</f>
        <v>4</v>
      </c>
      <c r="H32" s="22">
        <f>Input!D86</f>
        <v>1300</v>
      </c>
      <c r="J32" s="47">
        <f t="shared" si="2"/>
        <v>9100</v>
      </c>
      <c r="K32" s="65">
        <f t="shared" si="2"/>
        <v>9100</v>
      </c>
      <c r="L32" s="65">
        <f t="shared" si="2"/>
        <v>9100</v>
      </c>
      <c r="M32" s="65">
        <f t="shared" si="3"/>
        <v>18200</v>
      </c>
      <c r="N32" s="65">
        <f t="shared" si="3"/>
        <v>18200</v>
      </c>
      <c r="O32" s="65">
        <f t="shared" si="3"/>
        <v>18200</v>
      </c>
      <c r="P32" s="66">
        <f>M32*(1+Input!$C$59)</f>
        <v>19110</v>
      </c>
      <c r="Q32" s="66">
        <f>N32*(1+Input!$C$59)</f>
        <v>19110</v>
      </c>
      <c r="R32" s="66">
        <f>O32*(1+Input!$C$59)</f>
        <v>19110</v>
      </c>
      <c r="S32" s="66">
        <f>P32*(1+Input!$C$59)</f>
        <v>20065.5</v>
      </c>
      <c r="T32" s="66">
        <f>Q32*(1+Input!$C$59)</f>
        <v>20065.5</v>
      </c>
      <c r="U32" s="66">
        <f>R32*(1+Input!$C$59)</f>
        <v>20065.5</v>
      </c>
      <c r="V32" s="66">
        <f>S32*(1+Input!$C$59)</f>
        <v>21068.775000000001</v>
      </c>
      <c r="W32" s="66">
        <f>T32*(1+Input!$C$59)</f>
        <v>21068.775000000001</v>
      </c>
      <c r="X32" s="66">
        <f>U32*(1+Input!$C$59)</f>
        <v>21068.775000000001</v>
      </c>
      <c r="Y32" s="66">
        <f>V32*(1+Input!$C$59)</f>
        <v>22122.213750000003</v>
      </c>
      <c r="Z32" s="66">
        <f>W32*(1+Input!$C$59)</f>
        <v>22122.213750000003</v>
      </c>
      <c r="AA32" s="66">
        <f>X32*(1+Input!$C$59)</f>
        <v>22122.213750000003</v>
      </c>
      <c r="AB32" s="66">
        <f>Y32*(1+Input!$C$59)</f>
        <v>23228.324437500003</v>
      </c>
      <c r="AC32" s="66">
        <f>Z32*(1+Input!$C$59)</f>
        <v>23228.324437500003</v>
      </c>
      <c r="AD32" s="66">
        <f>AA32*(1+Input!$C$59)</f>
        <v>23228.324437500003</v>
      </c>
      <c r="AE32" s="66">
        <f>AB32*(1+Input!$C$59)</f>
        <v>24389.740659375006</v>
      </c>
      <c r="AF32" s="66">
        <f>AC32*(1+Input!$C$59)</f>
        <v>24389.740659375006</v>
      </c>
      <c r="AG32" s="66">
        <f>AD32*(1+Input!$C$59)</f>
        <v>24389.740659375006</v>
      </c>
      <c r="AH32" s="66">
        <f>AE32*(1+Input!$C$59)</f>
        <v>25609.227692343757</v>
      </c>
      <c r="AI32" s="66">
        <f>AF32*(1+Input!$C$59)</f>
        <v>25609.227692343757</v>
      </c>
      <c r="AJ32" s="66">
        <f>AG32*(1+Input!$C$59)</f>
        <v>25609.227692343757</v>
      </c>
    </row>
    <row r="33" spans="5:36" x14ac:dyDescent="0.25">
      <c r="E33" t="str">
        <f>Input!A87</f>
        <v xml:space="preserve"> Receptionist</v>
      </c>
      <c r="F33" s="22">
        <f>Input!B87</f>
        <v>1</v>
      </c>
      <c r="G33" s="22">
        <f>Input!C87</f>
        <v>1</v>
      </c>
      <c r="H33" s="22">
        <f>Input!D87</f>
        <v>1500</v>
      </c>
      <c r="J33" s="47">
        <f t="shared" si="2"/>
        <v>5250</v>
      </c>
      <c r="K33" s="65">
        <f t="shared" si="2"/>
        <v>5250</v>
      </c>
      <c r="L33" s="65">
        <f t="shared" si="2"/>
        <v>5250</v>
      </c>
      <c r="M33" s="65">
        <f t="shared" si="3"/>
        <v>5250</v>
      </c>
      <c r="N33" s="65">
        <f t="shared" si="3"/>
        <v>5250</v>
      </c>
      <c r="O33" s="65">
        <f t="shared" si="3"/>
        <v>5250</v>
      </c>
      <c r="P33" s="66">
        <f>M33*(1+Input!$C$59)</f>
        <v>5512.5</v>
      </c>
      <c r="Q33" s="66">
        <f>N33*(1+Input!$C$59)</f>
        <v>5512.5</v>
      </c>
      <c r="R33" s="66">
        <f>O33*(1+Input!$C$59)</f>
        <v>5512.5</v>
      </c>
      <c r="S33" s="66">
        <f>P33*(1+Input!$C$59)</f>
        <v>5788.125</v>
      </c>
      <c r="T33" s="66">
        <f>Q33*(1+Input!$C$59)</f>
        <v>5788.125</v>
      </c>
      <c r="U33" s="66">
        <f>R33*(1+Input!$C$59)</f>
        <v>5788.125</v>
      </c>
      <c r="V33" s="66">
        <f>S33*(1+Input!$C$59)</f>
        <v>6077.53125</v>
      </c>
      <c r="W33" s="66">
        <f>T33*(1+Input!$C$59)</f>
        <v>6077.53125</v>
      </c>
      <c r="X33" s="66">
        <f>U33*(1+Input!$C$59)</f>
        <v>6077.53125</v>
      </c>
      <c r="Y33" s="66">
        <f>V33*(1+Input!$C$59)</f>
        <v>6381.4078125000005</v>
      </c>
      <c r="Z33" s="66">
        <f>W33*(1+Input!$C$59)</f>
        <v>6381.4078125000005</v>
      </c>
      <c r="AA33" s="66">
        <f>X33*(1+Input!$C$59)</f>
        <v>6381.4078125000005</v>
      </c>
      <c r="AB33" s="66">
        <f>Y33*(1+Input!$C$59)</f>
        <v>6700.4782031250006</v>
      </c>
      <c r="AC33" s="66">
        <f>Z33*(1+Input!$C$59)</f>
        <v>6700.4782031250006</v>
      </c>
      <c r="AD33" s="66">
        <f>AA33*(1+Input!$C$59)</f>
        <v>6700.4782031250006</v>
      </c>
      <c r="AE33" s="66">
        <f>AB33*(1+Input!$C$59)</f>
        <v>7035.5021132812508</v>
      </c>
      <c r="AF33" s="66">
        <f>AC33*(1+Input!$C$59)</f>
        <v>7035.5021132812508</v>
      </c>
      <c r="AG33" s="66">
        <f>AD33*(1+Input!$C$59)</f>
        <v>7035.5021132812508</v>
      </c>
      <c r="AH33" s="66">
        <f>AE33*(1+Input!$C$59)</f>
        <v>7387.2772189453135</v>
      </c>
      <c r="AI33" s="66">
        <f>AF33*(1+Input!$C$59)</f>
        <v>7387.2772189453135</v>
      </c>
      <c r="AJ33" s="66">
        <f>AG33*(1+Input!$C$59)</f>
        <v>7387.2772189453135</v>
      </c>
    </row>
    <row r="34" spans="5:36" x14ac:dyDescent="0.25">
      <c r="E34" t="str">
        <f>Input!A88</f>
        <v>Secretary &amp; Accounts Officer</v>
      </c>
      <c r="F34" s="22">
        <f>Input!B88</f>
        <v>2</v>
      </c>
      <c r="G34" s="22">
        <f>Input!C88</f>
        <v>2</v>
      </c>
      <c r="H34" s="22">
        <f>Input!D88</f>
        <v>2000</v>
      </c>
      <c r="J34" s="47">
        <f t="shared" si="2"/>
        <v>14000</v>
      </c>
      <c r="K34" s="65">
        <f t="shared" si="2"/>
        <v>14000</v>
      </c>
      <c r="L34" s="65">
        <f t="shared" si="2"/>
        <v>14000</v>
      </c>
      <c r="M34" s="65">
        <f t="shared" si="3"/>
        <v>14000</v>
      </c>
      <c r="N34" s="65">
        <f t="shared" si="3"/>
        <v>14000</v>
      </c>
      <c r="O34" s="65">
        <f t="shared" si="3"/>
        <v>14000</v>
      </c>
      <c r="P34" s="66">
        <f>M34*(1+Input!$C$59)</f>
        <v>14700</v>
      </c>
      <c r="Q34" s="66">
        <f>N34*(1+Input!$C$59)</f>
        <v>14700</v>
      </c>
      <c r="R34" s="66">
        <f>O34*(1+Input!$C$59)</f>
        <v>14700</v>
      </c>
      <c r="S34" s="66">
        <f>P34*(1+Input!$C$59)</f>
        <v>15435</v>
      </c>
      <c r="T34" s="66">
        <f>Q34*(1+Input!$C$59)</f>
        <v>15435</v>
      </c>
      <c r="U34" s="66">
        <f>R34*(1+Input!$C$59)</f>
        <v>15435</v>
      </c>
      <c r="V34" s="66">
        <f>S34*(1+Input!$C$59)</f>
        <v>16206.75</v>
      </c>
      <c r="W34" s="66">
        <f>T34*(1+Input!$C$59)</f>
        <v>16206.75</v>
      </c>
      <c r="X34" s="66">
        <f>U34*(1+Input!$C$59)</f>
        <v>16206.75</v>
      </c>
      <c r="Y34" s="66">
        <f>V34*(1+Input!$C$59)</f>
        <v>17017.087500000001</v>
      </c>
      <c r="Z34" s="66">
        <f>W34*(1+Input!$C$59)</f>
        <v>17017.087500000001</v>
      </c>
      <c r="AA34" s="66">
        <f>X34*(1+Input!$C$59)</f>
        <v>17017.087500000001</v>
      </c>
      <c r="AB34" s="66">
        <f>Y34*(1+Input!$C$59)</f>
        <v>17867.941875000004</v>
      </c>
      <c r="AC34" s="66">
        <f>Z34*(1+Input!$C$59)</f>
        <v>17867.941875000004</v>
      </c>
      <c r="AD34" s="66">
        <f>AA34*(1+Input!$C$59)</f>
        <v>17867.941875000004</v>
      </c>
      <c r="AE34" s="66">
        <f>AB34*(1+Input!$C$59)</f>
        <v>18761.338968750006</v>
      </c>
      <c r="AF34" s="66">
        <f>AC34*(1+Input!$C$59)</f>
        <v>18761.338968750006</v>
      </c>
      <c r="AG34" s="66">
        <f>AD34*(1+Input!$C$59)</f>
        <v>18761.338968750006</v>
      </c>
      <c r="AH34" s="66">
        <f>AE34*(1+Input!$C$59)</f>
        <v>19699.405917187505</v>
      </c>
      <c r="AI34" s="66">
        <f>AF34*(1+Input!$C$59)</f>
        <v>19699.405917187505</v>
      </c>
      <c r="AJ34" s="66">
        <f>AG34*(1+Input!$C$59)</f>
        <v>19699.405917187505</v>
      </c>
    </row>
    <row r="35" spans="5:36" x14ac:dyDescent="0.25">
      <c r="E35" t="str">
        <f>Input!A89</f>
        <v>Security Officers (10)  (1) &amp; (1)</v>
      </c>
      <c r="F35" s="22">
        <f>Input!B89</f>
        <v>6</v>
      </c>
      <c r="G35" s="22">
        <f>Input!C89</f>
        <v>10</v>
      </c>
      <c r="H35" s="22">
        <f>Input!D89</f>
        <v>1200</v>
      </c>
      <c r="J35" s="47">
        <f t="shared" si="2"/>
        <v>25200</v>
      </c>
      <c r="K35" s="65">
        <f t="shared" si="2"/>
        <v>25200</v>
      </c>
      <c r="L35" s="65">
        <f t="shared" si="2"/>
        <v>25200</v>
      </c>
      <c r="M35" s="65">
        <f t="shared" ref="M35:O41" si="4">$G35*$H35*$F$43</f>
        <v>42000</v>
      </c>
      <c r="N35" s="65">
        <f t="shared" si="4"/>
        <v>42000</v>
      </c>
      <c r="O35" s="65">
        <f t="shared" si="4"/>
        <v>42000</v>
      </c>
      <c r="P35" s="66">
        <f>M35*(1+Input!$C$59)</f>
        <v>44100</v>
      </c>
      <c r="Q35" s="66">
        <f>N35*(1+Input!$C$59)</f>
        <v>44100</v>
      </c>
      <c r="R35" s="66">
        <f>O35*(1+Input!$C$59)</f>
        <v>44100</v>
      </c>
      <c r="S35" s="66">
        <f>P35*(1+Input!$C$59)</f>
        <v>46305</v>
      </c>
      <c r="T35" s="66">
        <f>Q35*(1+Input!$C$59)</f>
        <v>46305</v>
      </c>
      <c r="U35" s="66">
        <f>R35*(1+Input!$C$59)</f>
        <v>46305</v>
      </c>
      <c r="V35" s="66">
        <f>S35*(1+Input!$C$59)</f>
        <v>48620.25</v>
      </c>
      <c r="W35" s="66">
        <f>T35*(1+Input!$C$59)</f>
        <v>48620.25</v>
      </c>
      <c r="X35" s="66">
        <f>U35*(1+Input!$C$59)</f>
        <v>48620.25</v>
      </c>
      <c r="Y35" s="66">
        <f>V35*(1+Input!$C$59)</f>
        <v>51051.262500000004</v>
      </c>
      <c r="Z35" s="66">
        <f>W35*(1+Input!$C$59)</f>
        <v>51051.262500000004</v>
      </c>
      <c r="AA35" s="66">
        <f>X35*(1+Input!$C$59)</f>
        <v>51051.262500000004</v>
      </c>
      <c r="AB35" s="66">
        <f>Y35*(1+Input!$C$59)</f>
        <v>53603.825625000005</v>
      </c>
      <c r="AC35" s="66">
        <f>Z35*(1+Input!$C$59)</f>
        <v>53603.825625000005</v>
      </c>
      <c r="AD35" s="66">
        <f>AA35*(1+Input!$C$59)</f>
        <v>53603.825625000005</v>
      </c>
      <c r="AE35" s="66">
        <f>AB35*(1+Input!$C$59)</f>
        <v>56284.016906250006</v>
      </c>
      <c r="AF35" s="66">
        <f>AC35*(1+Input!$C$59)</f>
        <v>56284.016906250006</v>
      </c>
      <c r="AG35" s="66">
        <f>AD35*(1+Input!$C$59)</f>
        <v>56284.016906250006</v>
      </c>
      <c r="AH35" s="66">
        <f>AE35*(1+Input!$C$59)</f>
        <v>59098.217751562508</v>
      </c>
      <c r="AI35" s="66">
        <f>AF35*(1+Input!$C$59)</f>
        <v>59098.217751562508</v>
      </c>
      <c r="AJ35" s="66">
        <f>AG35*(1+Input!$C$59)</f>
        <v>59098.217751562508</v>
      </c>
    </row>
    <row r="36" spans="5:36" x14ac:dyDescent="0.25">
      <c r="E36" t="str">
        <f>Input!A90</f>
        <v>Bookshop Keeper</v>
      </c>
      <c r="F36" s="22">
        <f>Input!B90</f>
        <v>1</v>
      </c>
      <c r="G36" s="22">
        <f>Input!C90</f>
        <v>1</v>
      </c>
      <c r="H36" s="22">
        <f>Input!D90</f>
        <v>1200</v>
      </c>
      <c r="J36" s="47">
        <f t="shared" si="2"/>
        <v>4200</v>
      </c>
      <c r="K36" s="65">
        <f t="shared" si="2"/>
        <v>4200</v>
      </c>
      <c r="L36" s="65">
        <f t="shared" si="2"/>
        <v>4200</v>
      </c>
      <c r="M36" s="65">
        <f t="shared" si="4"/>
        <v>4200</v>
      </c>
      <c r="N36" s="65">
        <f t="shared" si="4"/>
        <v>4200</v>
      </c>
      <c r="O36" s="65">
        <f t="shared" si="4"/>
        <v>4200</v>
      </c>
      <c r="P36" s="66">
        <f>M36*(1+Input!$C$59)</f>
        <v>4410</v>
      </c>
      <c r="Q36" s="66">
        <f>N36*(1+Input!$C$59)</f>
        <v>4410</v>
      </c>
      <c r="R36" s="66">
        <f>O36*(1+Input!$C$59)</f>
        <v>4410</v>
      </c>
      <c r="S36" s="66">
        <f>P36*(1+Input!$C$59)</f>
        <v>4630.5</v>
      </c>
      <c r="T36" s="66">
        <f>Q36*(1+Input!$C$59)</f>
        <v>4630.5</v>
      </c>
      <c r="U36" s="66">
        <f>R36*(1+Input!$C$59)</f>
        <v>4630.5</v>
      </c>
      <c r="V36" s="66">
        <f>S36*(1+Input!$C$59)</f>
        <v>4862.0250000000005</v>
      </c>
      <c r="W36" s="66">
        <f>T36*(1+Input!$C$59)</f>
        <v>4862.0250000000005</v>
      </c>
      <c r="X36" s="66">
        <f>U36*(1+Input!$C$59)</f>
        <v>4862.0250000000005</v>
      </c>
      <c r="Y36" s="66">
        <f>V36*(1+Input!$C$59)</f>
        <v>5105.1262500000012</v>
      </c>
      <c r="Z36" s="66">
        <f>W36*(1+Input!$C$59)</f>
        <v>5105.1262500000012</v>
      </c>
      <c r="AA36" s="66">
        <f>X36*(1+Input!$C$59)</f>
        <v>5105.1262500000012</v>
      </c>
      <c r="AB36" s="66">
        <f>Y36*(1+Input!$C$59)</f>
        <v>5360.3825625000018</v>
      </c>
      <c r="AC36" s="66">
        <f>Z36*(1+Input!$C$59)</f>
        <v>5360.3825625000018</v>
      </c>
      <c r="AD36" s="66">
        <f>AA36*(1+Input!$C$59)</f>
        <v>5360.3825625000018</v>
      </c>
      <c r="AE36" s="66">
        <f>AB36*(1+Input!$C$59)</f>
        <v>5628.4016906250017</v>
      </c>
      <c r="AF36" s="66">
        <f>AC36*(1+Input!$C$59)</f>
        <v>5628.4016906250017</v>
      </c>
      <c r="AG36" s="66">
        <f>AD36*(1+Input!$C$59)</f>
        <v>5628.4016906250017</v>
      </c>
      <c r="AH36" s="66">
        <f>AE36*(1+Input!$C$59)</f>
        <v>5909.8217751562524</v>
      </c>
      <c r="AI36" s="66">
        <f>AF36*(1+Input!$C$59)</f>
        <v>5909.8217751562524</v>
      </c>
      <c r="AJ36" s="66">
        <f>AG36*(1+Input!$C$59)</f>
        <v>5909.8217751562524</v>
      </c>
    </row>
    <row r="37" spans="5:36" x14ac:dyDescent="0.25">
      <c r="E37" t="str">
        <f>Input!A91</f>
        <v>Tuckshop Keeper</v>
      </c>
      <c r="F37" s="22">
        <f>Input!B91</f>
        <v>1</v>
      </c>
      <c r="G37" s="22">
        <f>Input!C91</f>
        <v>1</v>
      </c>
      <c r="H37" s="22">
        <f>Input!D91</f>
        <v>1200</v>
      </c>
      <c r="J37" s="47">
        <f t="shared" si="2"/>
        <v>4200</v>
      </c>
      <c r="K37" s="65">
        <f t="shared" si="2"/>
        <v>4200</v>
      </c>
      <c r="L37" s="65">
        <f t="shared" si="2"/>
        <v>4200</v>
      </c>
      <c r="M37" s="65">
        <f t="shared" si="4"/>
        <v>4200</v>
      </c>
      <c r="N37" s="65">
        <f t="shared" si="4"/>
        <v>4200</v>
      </c>
      <c r="O37" s="65">
        <f t="shared" si="4"/>
        <v>4200</v>
      </c>
      <c r="P37" s="66">
        <f>M37*(1+Input!$C$59)</f>
        <v>4410</v>
      </c>
      <c r="Q37" s="66">
        <f>N37*(1+Input!$C$59)</f>
        <v>4410</v>
      </c>
      <c r="R37" s="66">
        <f>O37*(1+Input!$C$59)</f>
        <v>4410</v>
      </c>
      <c r="S37" s="66">
        <f>P37*(1+Input!$C$59)</f>
        <v>4630.5</v>
      </c>
      <c r="T37" s="66">
        <f>Q37*(1+Input!$C$59)</f>
        <v>4630.5</v>
      </c>
      <c r="U37" s="66">
        <f>R37*(1+Input!$C$59)</f>
        <v>4630.5</v>
      </c>
      <c r="V37" s="66">
        <f>S37*(1+Input!$C$59)</f>
        <v>4862.0250000000005</v>
      </c>
      <c r="W37" s="66">
        <f>T37*(1+Input!$C$59)</f>
        <v>4862.0250000000005</v>
      </c>
      <c r="X37" s="66">
        <f>U37*(1+Input!$C$59)</f>
        <v>4862.0250000000005</v>
      </c>
      <c r="Y37" s="66">
        <f>V37*(1+Input!$C$59)</f>
        <v>5105.1262500000012</v>
      </c>
      <c r="Z37" s="66">
        <f>W37*(1+Input!$C$59)</f>
        <v>5105.1262500000012</v>
      </c>
      <c r="AA37" s="66">
        <f>X37*(1+Input!$C$59)</f>
        <v>5105.1262500000012</v>
      </c>
      <c r="AB37" s="66">
        <f>Y37*(1+Input!$C$59)</f>
        <v>5360.3825625000018</v>
      </c>
      <c r="AC37" s="66">
        <f>Z37*(1+Input!$C$59)</f>
        <v>5360.3825625000018</v>
      </c>
      <c r="AD37" s="66">
        <f>AA37*(1+Input!$C$59)</f>
        <v>5360.3825625000018</v>
      </c>
      <c r="AE37" s="66">
        <f>AB37*(1+Input!$C$59)</f>
        <v>5628.4016906250017</v>
      </c>
      <c r="AF37" s="66">
        <f>AC37*(1+Input!$C$59)</f>
        <v>5628.4016906250017</v>
      </c>
      <c r="AG37" s="66">
        <f>AD37*(1+Input!$C$59)</f>
        <v>5628.4016906250017</v>
      </c>
      <c r="AH37" s="66">
        <f>AE37*(1+Input!$C$59)</f>
        <v>5909.8217751562524</v>
      </c>
      <c r="AI37" s="66">
        <f>AF37*(1+Input!$C$59)</f>
        <v>5909.8217751562524</v>
      </c>
      <c r="AJ37" s="66">
        <f>AG37*(1+Input!$C$59)</f>
        <v>5909.8217751562524</v>
      </c>
    </row>
    <row r="38" spans="5:36" x14ac:dyDescent="0.25">
      <c r="E38" t="str">
        <f>Input!A92</f>
        <v>Administrator (Head Of Admi)</v>
      </c>
      <c r="F38" s="22">
        <f>Input!B92</f>
        <v>1</v>
      </c>
      <c r="G38" s="22">
        <f>Input!C92</f>
        <v>1</v>
      </c>
      <c r="H38" s="22">
        <f>Input!D92</f>
        <v>5000</v>
      </c>
      <c r="J38" s="47">
        <f t="shared" si="2"/>
        <v>17500</v>
      </c>
      <c r="K38" s="65">
        <f t="shared" si="2"/>
        <v>17500</v>
      </c>
      <c r="L38" s="65">
        <f t="shared" si="2"/>
        <v>17500</v>
      </c>
      <c r="M38" s="65">
        <f t="shared" si="4"/>
        <v>17500</v>
      </c>
      <c r="N38" s="65">
        <f t="shared" si="4"/>
        <v>17500</v>
      </c>
      <c r="O38" s="65">
        <f t="shared" si="4"/>
        <v>17500</v>
      </c>
      <c r="P38" s="66">
        <f>M38*(1+Input!$C$59)</f>
        <v>18375</v>
      </c>
      <c r="Q38" s="66">
        <f>N38*(1+Input!$C$59)</f>
        <v>18375</v>
      </c>
      <c r="R38" s="66">
        <f>O38*(1+Input!$C$59)</f>
        <v>18375</v>
      </c>
      <c r="S38" s="66">
        <f>P38*(1+Input!$C$59)</f>
        <v>19293.75</v>
      </c>
      <c r="T38" s="66">
        <f>Q38*(1+Input!$C$59)</f>
        <v>19293.75</v>
      </c>
      <c r="U38" s="66">
        <f>R38*(1+Input!$C$59)</f>
        <v>19293.75</v>
      </c>
      <c r="V38" s="66">
        <f>S38*(1+Input!$C$59)</f>
        <v>20258.4375</v>
      </c>
      <c r="W38" s="66">
        <f>T38*(1+Input!$C$59)</f>
        <v>20258.4375</v>
      </c>
      <c r="X38" s="66">
        <f>U38*(1+Input!$C$59)</f>
        <v>20258.4375</v>
      </c>
      <c r="Y38" s="66">
        <f>V38*(1+Input!$C$59)</f>
        <v>21271.359375</v>
      </c>
      <c r="Z38" s="66">
        <f>W38*(1+Input!$C$59)</f>
        <v>21271.359375</v>
      </c>
      <c r="AA38" s="66">
        <f>X38*(1+Input!$C$59)</f>
        <v>21271.359375</v>
      </c>
      <c r="AB38" s="66">
        <f>Y38*(1+Input!$C$59)</f>
        <v>22334.927343750001</v>
      </c>
      <c r="AC38" s="66">
        <f>Z38*(1+Input!$C$59)</f>
        <v>22334.927343750001</v>
      </c>
      <c r="AD38" s="66">
        <f>AA38*(1+Input!$C$59)</f>
        <v>22334.927343750001</v>
      </c>
      <c r="AE38" s="66">
        <f>AB38*(1+Input!$C$59)</f>
        <v>23451.673710937503</v>
      </c>
      <c r="AF38" s="66">
        <f>AC38*(1+Input!$C$59)</f>
        <v>23451.673710937503</v>
      </c>
      <c r="AG38" s="66">
        <f>AD38*(1+Input!$C$59)</f>
        <v>23451.673710937503</v>
      </c>
      <c r="AH38" s="66">
        <f>AE38*(1+Input!$C$59)</f>
        <v>24624.25739648438</v>
      </c>
      <c r="AI38" s="66">
        <f>AF38*(1+Input!$C$59)</f>
        <v>24624.25739648438</v>
      </c>
      <c r="AJ38" s="66">
        <f>AG38*(1+Input!$C$59)</f>
        <v>24624.25739648438</v>
      </c>
    </row>
    <row r="39" spans="5:36" x14ac:dyDescent="0.25">
      <c r="E39" t="str">
        <f>Input!A93</f>
        <v>Sanitary Officer &amp; Sch. Nurse</v>
      </c>
      <c r="F39" s="22">
        <f>Input!B93</f>
        <v>2</v>
      </c>
      <c r="G39" s="22">
        <f>Input!C93</f>
        <v>2</v>
      </c>
      <c r="H39" s="22">
        <f>Input!D93</f>
        <v>1445</v>
      </c>
      <c r="J39" s="47">
        <f t="shared" si="2"/>
        <v>10115</v>
      </c>
      <c r="K39" s="65">
        <f t="shared" si="2"/>
        <v>10115</v>
      </c>
      <c r="L39" s="65">
        <f t="shared" si="2"/>
        <v>10115</v>
      </c>
      <c r="M39" s="65">
        <f t="shared" si="4"/>
        <v>10115</v>
      </c>
      <c r="N39" s="65">
        <f t="shared" si="4"/>
        <v>10115</v>
      </c>
      <c r="O39" s="65">
        <f t="shared" si="4"/>
        <v>10115</v>
      </c>
      <c r="P39" s="66">
        <f>M39*(1+Input!$C$59)</f>
        <v>10620.75</v>
      </c>
      <c r="Q39" s="66">
        <f>N39*(1+Input!$C$59)</f>
        <v>10620.75</v>
      </c>
      <c r="R39" s="66">
        <f>O39*(1+Input!$C$59)</f>
        <v>10620.75</v>
      </c>
      <c r="S39" s="66">
        <f>P39*(1+Input!$C$59)</f>
        <v>11151.7875</v>
      </c>
      <c r="T39" s="66">
        <f>Q39*(1+Input!$C$59)</f>
        <v>11151.7875</v>
      </c>
      <c r="U39" s="66">
        <f>R39*(1+Input!$C$59)</f>
        <v>11151.7875</v>
      </c>
      <c r="V39" s="66">
        <f>S39*(1+Input!$C$59)</f>
        <v>11709.376875000002</v>
      </c>
      <c r="W39" s="66">
        <f>T39*(1+Input!$C$59)</f>
        <v>11709.376875000002</v>
      </c>
      <c r="X39" s="66">
        <f>U39*(1+Input!$C$59)</f>
        <v>11709.376875000002</v>
      </c>
      <c r="Y39" s="66">
        <f>V39*(1+Input!$C$59)</f>
        <v>12294.845718750003</v>
      </c>
      <c r="Z39" s="66">
        <f>W39*(1+Input!$C$59)</f>
        <v>12294.845718750003</v>
      </c>
      <c r="AA39" s="66">
        <f>X39*(1+Input!$C$59)</f>
        <v>12294.845718750003</v>
      </c>
      <c r="AB39" s="66">
        <f>Y39*(1+Input!$C$59)</f>
        <v>12909.588004687503</v>
      </c>
      <c r="AC39" s="66">
        <f>Z39*(1+Input!$C$59)</f>
        <v>12909.588004687503</v>
      </c>
      <c r="AD39" s="66">
        <f>AA39*(1+Input!$C$59)</f>
        <v>12909.588004687503</v>
      </c>
      <c r="AE39" s="66">
        <f>AB39*(1+Input!$C$59)</f>
        <v>13555.067404921878</v>
      </c>
      <c r="AF39" s="66">
        <f>AC39*(1+Input!$C$59)</f>
        <v>13555.067404921878</v>
      </c>
      <c r="AG39" s="66">
        <f>AD39*(1+Input!$C$59)</f>
        <v>13555.067404921878</v>
      </c>
      <c r="AH39" s="66">
        <f>AE39*(1+Input!$C$59)</f>
        <v>14232.820775167973</v>
      </c>
      <c r="AI39" s="66">
        <f>AF39*(1+Input!$C$59)</f>
        <v>14232.820775167973</v>
      </c>
      <c r="AJ39" s="66">
        <f>AG39*(1+Input!$C$59)</f>
        <v>14232.820775167973</v>
      </c>
    </row>
    <row r="40" spans="5:36" x14ac:dyDescent="0.25">
      <c r="E40" t="str">
        <f>Input!A94</f>
        <v>Headmaster</v>
      </c>
      <c r="F40" s="22">
        <f>Input!B94</f>
        <v>1</v>
      </c>
      <c r="G40" s="22">
        <f>Input!C94</f>
        <v>1</v>
      </c>
      <c r="H40" s="22">
        <f>Input!D94</f>
        <v>8000</v>
      </c>
      <c r="J40" s="47">
        <f t="shared" si="2"/>
        <v>28000</v>
      </c>
      <c r="K40" s="65">
        <f t="shared" si="2"/>
        <v>28000</v>
      </c>
      <c r="L40" s="65">
        <f t="shared" si="2"/>
        <v>28000</v>
      </c>
      <c r="M40" s="65">
        <f t="shared" si="4"/>
        <v>28000</v>
      </c>
      <c r="N40" s="65">
        <f t="shared" si="4"/>
        <v>28000</v>
      </c>
      <c r="O40" s="65">
        <f t="shared" si="4"/>
        <v>28000</v>
      </c>
      <c r="P40" s="66">
        <f>M40*(1+Input!$C$59)</f>
        <v>29400</v>
      </c>
      <c r="Q40" s="66">
        <f>N40*(1+Input!$C$59)</f>
        <v>29400</v>
      </c>
      <c r="R40" s="66">
        <f>O40*(1+Input!$C$59)</f>
        <v>29400</v>
      </c>
      <c r="S40" s="66">
        <f>P40*(1+Input!$C$59)</f>
        <v>30870</v>
      </c>
      <c r="T40" s="66">
        <f>Q40*(1+Input!$C$59)</f>
        <v>30870</v>
      </c>
      <c r="U40" s="66">
        <f>R40*(1+Input!$C$59)</f>
        <v>30870</v>
      </c>
      <c r="V40" s="66">
        <f>S40*(1+Input!$C$59)</f>
        <v>32413.5</v>
      </c>
      <c r="W40" s="66">
        <f>T40*(1+Input!$C$59)</f>
        <v>32413.5</v>
      </c>
      <c r="X40" s="66">
        <f>U40*(1+Input!$C$59)</f>
        <v>32413.5</v>
      </c>
      <c r="Y40" s="66">
        <f>V40*(1+Input!$C$59)</f>
        <v>34034.175000000003</v>
      </c>
      <c r="Z40" s="66">
        <f>W40*(1+Input!$C$59)</f>
        <v>34034.175000000003</v>
      </c>
      <c r="AA40" s="66">
        <f>X40*(1+Input!$C$59)</f>
        <v>34034.175000000003</v>
      </c>
      <c r="AB40" s="66">
        <f>Y40*(1+Input!$C$59)</f>
        <v>35735.883750000008</v>
      </c>
      <c r="AC40" s="66">
        <f>Z40*(1+Input!$C$59)</f>
        <v>35735.883750000008</v>
      </c>
      <c r="AD40" s="66">
        <f>AA40*(1+Input!$C$59)</f>
        <v>35735.883750000008</v>
      </c>
      <c r="AE40" s="66">
        <f>AB40*(1+Input!$C$59)</f>
        <v>37522.677937500011</v>
      </c>
      <c r="AF40" s="66">
        <f>AC40*(1+Input!$C$59)</f>
        <v>37522.677937500011</v>
      </c>
      <c r="AG40" s="66">
        <f>AD40*(1+Input!$C$59)</f>
        <v>37522.677937500011</v>
      </c>
      <c r="AH40" s="66">
        <f>AE40*(1+Input!$C$59)</f>
        <v>39398.81183437501</v>
      </c>
      <c r="AI40" s="66">
        <f>AF40*(1+Input!$C$59)</f>
        <v>39398.81183437501</v>
      </c>
      <c r="AJ40" s="66">
        <f>AG40*(1+Input!$C$59)</f>
        <v>39398.81183437501</v>
      </c>
    </row>
    <row r="41" spans="5:36" x14ac:dyDescent="0.25">
      <c r="E41" t="str">
        <f>Input!A95</f>
        <v>Asst. Head</v>
      </c>
      <c r="F41" s="22">
        <f>Input!B95</f>
        <v>1</v>
      </c>
      <c r="G41" s="22">
        <f>Input!C95</f>
        <v>1</v>
      </c>
      <c r="H41" s="22">
        <f>Input!D95</f>
        <v>5000</v>
      </c>
      <c r="J41" s="47">
        <f t="shared" si="2"/>
        <v>17500</v>
      </c>
      <c r="K41" s="65">
        <f t="shared" si="2"/>
        <v>17500</v>
      </c>
      <c r="L41" s="65">
        <f t="shared" si="2"/>
        <v>17500</v>
      </c>
      <c r="M41" s="65">
        <f t="shared" si="4"/>
        <v>17500</v>
      </c>
      <c r="N41" s="65">
        <f t="shared" si="4"/>
        <v>17500</v>
      </c>
      <c r="O41" s="65">
        <f t="shared" si="4"/>
        <v>17500</v>
      </c>
      <c r="P41" s="66">
        <f>M41*(1+Input!$C$59)</f>
        <v>18375</v>
      </c>
      <c r="Q41" s="66">
        <f>N41*(1+Input!$C$59)</f>
        <v>18375</v>
      </c>
      <c r="R41" s="66">
        <f>O41*(1+Input!$C$59)</f>
        <v>18375</v>
      </c>
      <c r="S41" s="66">
        <f>P41*(1+Input!$C$59)</f>
        <v>19293.75</v>
      </c>
      <c r="T41" s="66">
        <f>Q41*(1+Input!$C$59)</f>
        <v>19293.75</v>
      </c>
      <c r="U41" s="66">
        <f>R41*(1+Input!$C$59)</f>
        <v>19293.75</v>
      </c>
      <c r="V41" s="66">
        <f>S41*(1+Input!$C$59)</f>
        <v>20258.4375</v>
      </c>
      <c r="W41" s="66">
        <f>T41*(1+Input!$C$59)</f>
        <v>20258.4375</v>
      </c>
      <c r="X41" s="66">
        <f>U41*(1+Input!$C$59)</f>
        <v>20258.4375</v>
      </c>
      <c r="Y41" s="66">
        <f>V41*(1+Input!$C$59)</f>
        <v>21271.359375</v>
      </c>
      <c r="Z41" s="66">
        <f>W41*(1+Input!$C$59)</f>
        <v>21271.359375</v>
      </c>
      <c r="AA41" s="66">
        <f>X41*(1+Input!$C$59)</f>
        <v>21271.359375</v>
      </c>
      <c r="AB41" s="66">
        <f>Y41*(1+Input!$C$59)</f>
        <v>22334.927343750001</v>
      </c>
      <c r="AC41" s="66">
        <f>Z41*(1+Input!$C$59)</f>
        <v>22334.927343750001</v>
      </c>
      <c r="AD41" s="66">
        <f>AA41*(1+Input!$C$59)</f>
        <v>22334.927343750001</v>
      </c>
      <c r="AE41" s="66">
        <f>AB41*(1+Input!$C$59)</f>
        <v>23451.673710937503</v>
      </c>
      <c r="AF41" s="66">
        <f>AC41*(1+Input!$C$59)</f>
        <v>23451.673710937503</v>
      </c>
      <c r="AG41" s="66">
        <f>AD41*(1+Input!$C$59)</f>
        <v>23451.673710937503</v>
      </c>
      <c r="AH41" s="66">
        <f>AE41*(1+Input!$C$59)</f>
        <v>24624.25739648438</v>
      </c>
      <c r="AI41" s="66">
        <f>AF41*(1+Input!$C$59)</f>
        <v>24624.25739648438</v>
      </c>
      <c r="AJ41" s="66">
        <f>AG41*(1+Input!$C$59)</f>
        <v>24624.25739648438</v>
      </c>
    </row>
    <row r="42" spans="5:36" x14ac:dyDescent="0.25">
      <c r="E42" s="20" t="s">
        <v>217</v>
      </c>
      <c r="J42" s="76">
        <f>SUM(J7:J41)</f>
        <v>483665</v>
      </c>
      <c r="K42" s="76">
        <f t="shared" ref="K42:L42" si="5">SUM(K7:K41)</f>
        <v>483665</v>
      </c>
      <c r="L42" s="76">
        <f t="shared" si="5"/>
        <v>483665</v>
      </c>
      <c r="M42" s="76">
        <f t="shared" ref="M42:AJ42" si="6">SUM(M7:M41)</f>
        <v>773115</v>
      </c>
      <c r="N42" s="76">
        <f t="shared" si="6"/>
        <v>773115</v>
      </c>
      <c r="O42" s="76">
        <f t="shared" si="6"/>
        <v>773115</v>
      </c>
      <c r="P42" s="76">
        <f t="shared" si="6"/>
        <v>811770.75</v>
      </c>
      <c r="Q42" s="76">
        <f t="shared" si="6"/>
        <v>811770.75</v>
      </c>
      <c r="R42" s="76">
        <f t="shared" si="6"/>
        <v>811770.75</v>
      </c>
      <c r="S42" s="76">
        <f t="shared" si="6"/>
        <v>852359.28749999998</v>
      </c>
      <c r="T42" s="76">
        <f t="shared" si="6"/>
        <v>852359.28749999998</v>
      </c>
      <c r="U42" s="76">
        <f t="shared" si="6"/>
        <v>852359.28749999998</v>
      </c>
      <c r="V42" s="76">
        <f t="shared" si="6"/>
        <v>894977.25187500007</v>
      </c>
      <c r="W42" s="76">
        <f t="shared" si="6"/>
        <v>894977.25187500007</v>
      </c>
      <c r="X42" s="76">
        <f t="shared" si="6"/>
        <v>894977.25187500007</v>
      </c>
      <c r="Y42" s="76">
        <f t="shared" si="6"/>
        <v>939726.11446875019</v>
      </c>
      <c r="Z42" s="76">
        <f t="shared" si="6"/>
        <v>939726.11446875019</v>
      </c>
      <c r="AA42" s="76">
        <f t="shared" si="6"/>
        <v>939726.11446875019</v>
      </c>
      <c r="AB42" s="76">
        <f t="shared" si="6"/>
        <v>986712.42019218765</v>
      </c>
      <c r="AC42" s="76">
        <f t="shared" si="6"/>
        <v>986712.42019218765</v>
      </c>
      <c r="AD42" s="76">
        <f t="shared" si="6"/>
        <v>986712.42019218765</v>
      </c>
      <c r="AE42" s="76">
        <f t="shared" si="6"/>
        <v>1036048.0412017971</v>
      </c>
      <c r="AF42" s="76">
        <f t="shared" si="6"/>
        <v>1036048.0412017971</v>
      </c>
      <c r="AG42" s="76">
        <f t="shared" si="6"/>
        <v>1036048.0412017971</v>
      </c>
      <c r="AH42" s="76">
        <f t="shared" si="6"/>
        <v>1087850.4432618869</v>
      </c>
      <c r="AI42" s="76">
        <f t="shared" si="6"/>
        <v>1087850.4432618869</v>
      </c>
      <c r="AJ42" s="76">
        <f t="shared" si="6"/>
        <v>1087850.4432618869</v>
      </c>
    </row>
    <row r="43" spans="5:36" x14ac:dyDescent="0.25">
      <c r="E43" t="str">
        <f>Input!A29</f>
        <v>Months in a Term</v>
      </c>
      <c r="F43" s="22">
        <f>Input!B29</f>
        <v>3.5</v>
      </c>
    </row>
    <row r="44" spans="5:36" x14ac:dyDescent="0.25">
      <c r="F44" s="2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6E233-FE1A-4905-90D3-CB9DAC5014B7}">
  <sheetPr codeName="Sheet8">
    <tabColor rgb="FF92D050"/>
  </sheetPr>
  <dimension ref="A1:AK225"/>
  <sheetViews>
    <sheetView showGridLines="0" zoomScaleNormal="100" workbookViewId="0">
      <pane xSplit="9" ySplit="5" topLeftCell="J6" activePane="bottomRight" state="frozen"/>
      <selection activeCell="F31" sqref="F31"/>
      <selection pane="topRight" activeCell="F31" sqref="F31"/>
      <selection pane="bottomLeft" activeCell="F31" sqref="F31"/>
      <selection pane="bottomRight" activeCell="J6" sqref="J6"/>
    </sheetView>
  </sheetViews>
  <sheetFormatPr defaultRowHeight="15" x14ac:dyDescent="0.25"/>
  <cols>
    <col min="1" max="4" width="2.28515625" style="47" customWidth="1"/>
    <col min="5" max="5" width="13.28515625" style="47" customWidth="1"/>
    <col min="6" max="6" width="9.140625" style="47"/>
    <col min="7" max="7" width="6.28515625" style="47" customWidth="1"/>
    <col min="8" max="8" width="7.140625" style="47" customWidth="1"/>
    <col min="9" max="9" width="2.7109375" style="47" customWidth="1"/>
    <col min="10" max="10" width="9.140625" style="47"/>
    <col min="11" max="11" width="12.7109375" style="47" bestFit="1" customWidth="1"/>
    <col min="12" max="12" width="12.5703125" style="47" customWidth="1"/>
    <col min="13" max="14" width="10.85546875" style="47" bestFit="1" customWidth="1"/>
    <col min="15" max="20" width="9.85546875" style="47" bestFit="1" customWidth="1"/>
    <col min="21" max="16384" width="9.140625" style="47"/>
  </cols>
  <sheetData>
    <row r="1" spans="1:36" ht="34.5" x14ac:dyDescent="0.55000000000000004">
      <c r="A1" s="48" t="s">
        <v>90</v>
      </c>
    </row>
    <row r="2" spans="1:36" s="50" customFormat="1" x14ac:dyDescent="0.25">
      <c r="J2" s="60"/>
      <c r="K2" s="60" t="s">
        <v>76</v>
      </c>
      <c r="L2" s="60"/>
      <c r="M2" s="61"/>
      <c r="N2" s="61" t="s">
        <v>77</v>
      </c>
      <c r="O2" s="61"/>
      <c r="P2" s="60"/>
      <c r="Q2" s="60" t="s">
        <v>78</v>
      </c>
      <c r="R2" s="60"/>
      <c r="S2" s="61"/>
      <c r="T2" s="61" t="s">
        <v>79</v>
      </c>
      <c r="U2" s="61"/>
      <c r="V2" s="60"/>
      <c r="W2" s="60" t="s">
        <v>80</v>
      </c>
      <c r="X2" s="60"/>
      <c r="Y2" s="61"/>
      <c r="Z2" s="61" t="s">
        <v>81</v>
      </c>
      <c r="AA2" s="61"/>
      <c r="AB2" s="60"/>
      <c r="AC2" s="60" t="s">
        <v>82</v>
      </c>
      <c r="AD2" s="60"/>
      <c r="AE2" s="61"/>
      <c r="AF2" s="61" t="s">
        <v>83</v>
      </c>
      <c r="AG2" s="61"/>
      <c r="AH2" s="60"/>
      <c r="AI2" s="60" t="s">
        <v>84</v>
      </c>
      <c r="AJ2" s="60"/>
    </row>
    <row r="3" spans="1:36" x14ac:dyDescent="0.25">
      <c r="J3" s="62" t="s">
        <v>72</v>
      </c>
      <c r="K3" s="62" t="s">
        <v>73</v>
      </c>
      <c r="L3" s="62" t="s">
        <v>74</v>
      </c>
      <c r="M3" s="63" t="s">
        <v>72</v>
      </c>
      <c r="N3" s="63" t="s">
        <v>73</v>
      </c>
      <c r="O3" s="63" t="s">
        <v>74</v>
      </c>
      <c r="P3" s="62" t="s">
        <v>72</v>
      </c>
      <c r="Q3" s="62" t="s">
        <v>73</v>
      </c>
      <c r="R3" s="62" t="s">
        <v>74</v>
      </c>
      <c r="S3" s="63" t="s">
        <v>72</v>
      </c>
      <c r="T3" s="63" t="s">
        <v>73</v>
      </c>
      <c r="U3" s="63" t="s">
        <v>74</v>
      </c>
      <c r="V3" s="62" t="s">
        <v>72</v>
      </c>
      <c r="W3" s="62" t="s">
        <v>73</v>
      </c>
      <c r="X3" s="62" t="s">
        <v>74</v>
      </c>
      <c r="Y3" s="63" t="s">
        <v>72</v>
      </c>
      <c r="Z3" s="63" t="s">
        <v>73</v>
      </c>
      <c r="AA3" s="63" t="s">
        <v>74</v>
      </c>
      <c r="AB3" s="62" t="s">
        <v>72</v>
      </c>
      <c r="AC3" s="62" t="s">
        <v>73</v>
      </c>
      <c r="AD3" s="62" t="s">
        <v>74</v>
      </c>
      <c r="AE3" s="63" t="s">
        <v>72</v>
      </c>
      <c r="AF3" s="63" t="s">
        <v>73</v>
      </c>
      <c r="AG3" s="63" t="s">
        <v>74</v>
      </c>
      <c r="AH3" s="62" t="s">
        <v>72</v>
      </c>
      <c r="AI3" s="62" t="s">
        <v>73</v>
      </c>
      <c r="AJ3" s="62" t="s">
        <v>74</v>
      </c>
    </row>
    <row r="4" spans="1:36" x14ac:dyDescent="0.25">
      <c r="J4" s="62">
        <v>45536</v>
      </c>
      <c r="K4" s="62">
        <v>45658</v>
      </c>
      <c r="L4" s="62">
        <v>45778</v>
      </c>
      <c r="M4" s="63">
        <v>45901</v>
      </c>
      <c r="N4" s="63">
        <v>46023</v>
      </c>
      <c r="O4" s="63">
        <v>46143</v>
      </c>
      <c r="P4" s="62">
        <v>46266</v>
      </c>
      <c r="Q4" s="62">
        <v>46388</v>
      </c>
      <c r="R4" s="62">
        <v>46508</v>
      </c>
      <c r="S4" s="63">
        <v>46631</v>
      </c>
      <c r="T4" s="63">
        <v>46753</v>
      </c>
      <c r="U4" s="63">
        <v>46874</v>
      </c>
      <c r="V4" s="62">
        <v>46997</v>
      </c>
      <c r="W4" s="62">
        <v>47119</v>
      </c>
      <c r="X4" s="62">
        <v>47239</v>
      </c>
      <c r="Y4" s="63">
        <v>47362</v>
      </c>
      <c r="Z4" s="63">
        <v>47484</v>
      </c>
      <c r="AA4" s="63">
        <v>47604</v>
      </c>
      <c r="AB4" s="62">
        <v>47727</v>
      </c>
      <c r="AC4" s="62">
        <v>47849</v>
      </c>
      <c r="AD4" s="62">
        <v>47969</v>
      </c>
      <c r="AE4" s="63">
        <v>48092</v>
      </c>
      <c r="AF4" s="63">
        <v>48214</v>
      </c>
      <c r="AG4" s="63">
        <v>48335</v>
      </c>
      <c r="AH4" s="62">
        <v>48458</v>
      </c>
      <c r="AI4" s="62">
        <v>48580</v>
      </c>
      <c r="AJ4" s="62">
        <v>48700</v>
      </c>
    </row>
    <row r="5" spans="1:36" x14ac:dyDescent="0.25">
      <c r="F5" s="47" t="s">
        <v>87</v>
      </c>
      <c r="G5" s="47" t="s">
        <v>88</v>
      </c>
      <c r="H5" s="47" t="s">
        <v>86</v>
      </c>
      <c r="J5" s="47">
        <v>1</v>
      </c>
      <c r="K5" s="47">
        <v>2</v>
      </c>
      <c r="L5" s="47">
        <v>3</v>
      </c>
      <c r="M5" s="47">
        <v>4</v>
      </c>
      <c r="N5" s="47">
        <v>5</v>
      </c>
      <c r="O5" s="47">
        <v>6</v>
      </c>
      <c r="P5" s="47">
        <v>7</v>
      </c>
      <c r="Q5" s="47">
        <v>8</v>
      </c>
      <c r="R5" s="47">
        <v>9</v>
      </c>
      <c r="S5" s="47">
        <v>10</v>
      </c>
      <c r="T5" s="47">
        <v>11</v>
      </c>
      <c r="U5" s="47">
        <v>12</v>
      </c>
      <c r="V5" s="47">
        <v>13</v>
      </c>
      <c r="W5" s="47">
        <v>14</v>
      </c>
      <c r="X5" s="47">
        <v>15</v>
      </c>
      <c r="Y5" s="47">
        <v>16</v>
      </c>
      <c r="Z5" s="47">
        <v>17</v>
      </c>
      <c r="AA5" s="47">
        <v>18</v>
      </c>
      <c r="AB5" s="47">
        <v>19</v>
      </c>
      <c r="AC5" s="47">
        <v>20</v>
      </c>
      <c r="AD5" s="47">
        <v>21</v>
      </c>
      <c r="AE5" s="47">
        <v>22</v>
      </c>
      <c r="AF5" s="47">
        <v>23</v>
      </c>
      <c r="AG5" s="47">
        <v>24</v>
      </c>
      <c r="AH5" s="47">
        <v>25</v>
      </c>
      <c r="AI5" s="47">
        <v>26</v>
      </c>
      <c r="AJ5" s="47">
        <v>27</v>
      </c>
    </row>
    <row r="6" spans="1:36" x14ac:dyDescent="0.25">
      <c r="B6" s="47" t="s">
        <v>100</v>
      </c>
    </row>
    <row r="7" spans="1:36" x14ac:dyDescent="0.25">
      <c r="C7" s="47" t="s">
        <v>101</v>
      </c>
    </row>
    <row r="8" spans="1:36" x14ac:dyDescent="0.25">
      <c r="E8" s="64" t="str">
        <f>Input!A101</f>
        <v>Creche</v>
      </c>
      <c r="F8" s="57">
        <f>Input!B101</f>
        <v>1050</v>
      </c>
      <c r="J8" s="47">
        <f>$F8*Input!$B$33*Input!$B$28*Input!$B$11</f>
        <v>5670</v>
      </c>
      <c r="K8" s="47">
        <f>$F8*Input!$B$33*Input!$B$28*Input!$B$11</f>
        <v>5670</v>
      </c>
      <c r="L8" s="47">
        <f>$F8*Input!$B$33*Input!$B$28*Input!$B$11</f>
        <v>5670</v>
      </c>
      <c r="M8" s="47">
        <f>J8*(1+Input!$B$36)</f>
        <v>5953.5</v>
      </c>
      <c r="N8" s="47">
        <f>K8*(1+Input!$B$36)</f>
        <v>5953.5</v>
      </c>
      <c r="O8" s="47">
        <f>L8*(1+Input!$B$36)</f>
        <v>5953.5</v>
      </c>
      <c r="P8" s="47">
        <f>M8*(1+Input!$B$36)</f>
        <v>6251.1750000000002</v>
      </c>
      <c r="Q8" s="47">
        <f>N8*(1+Input!$B$36)</f>
        <v>6251.1750000000002</v>
      </c>
      <c r="R8" s="47">
        <f>O8*(1+Input!$B$36)</f>
        <v>6251.1750000000002</v>
      </c>
      <c r="S8" s="47">
        <f>P8*(1+Input!$B$36)</f>
        <v>6563.7337500000003</v>
      </c>
      <c r="T8" s="47">
        <f>Q8*(1+Input!$B$36)</f>
        <v>6563.7337500000003</v>
      </c>
      <c r="U8" s="47">
        <f>R8*(1+Input!$B$36)</f>
        <v>6563.7337500000003</v>
      </c>
      <c r="V8" s="47">
        <f>S8*(1+Input!$B$36)</f>
        <v>6891.9204375000008</v>
      </c>
      <c r="W8" s="47">
        <f>T8*(1+Input!$B$36)</f>
        <v>6891.9204375000008</v>
      </c>
      <c r="X8" s="47">
        <f>U8*(1+Input!$B$36)</f>
        <v>6891.9204375000008</v>
      </c>
      <c r="Y8" s="47">
        <f>V8*(1+Input!$B$36)</f>
        <v>7236.5164593750014</v>
      </c>
      <c r="Z8" s="47">
        <f>W8*(1+Input!$B$36)</f>
        <v>7236.5164593750014</v>
      </c>
      <c r="AA8" s="47">
        <f>X8*(1+Input!$B$36)</f>
        <v>7236.5164593750014</v>
      </c>
      <c r="AB8" s="47">
        <f>Y8*(1+Input!$B$36)</f>
        <v>7598.3422823437522</v>
      </c>
      <c r="AC8" s="47">
        <f>Z8*(1+Input!$B$36)</f>
        <v>7598.3422823437522</v>
      </c>
      <c r="AD8" s="47">
        <f>AA8*(1+Input!$B$36)</f>
        <v>7598.3422823437522</v>
      </c>
      <c r="AE8" s="47">
        <f>AB8*(1+Input!$B$36)</f>
        <v>7978.2593964609405</v>
      </c>
      <c r="AF8" s="47">
        <f>AC8*(1+Input!$B$36)</f>
        <v>7978.2593964609405</v>
      </c>
      <c r="AG8" s="47">
        <f>AD8*(1+Input!$B$36)</f>
        <v>7978.2593964609405</v>
      </c>
      <c r="AH8" s="47">
        <f>AE8*(1+Input!$B$36)</f>
        <v>8377.1723662839886</v>
      </c>
      <c r="AI8" s="47">
        <f>AF8*(1+Input!$B$36)</f>
        <v>8377.1723662839886</v>
      </c>
      <c r="AJ8" s="47">
        <f>AG8*(1+Input!$B$36)</f>
        <v>8377.1723662839886</v>
      </c>
    </row>
    <row r="9" spans="1:36" x14ac:dyDescent="0.25">
      <c r="E9" s="64" t="str">
        <f>Input!A102</f>
        <v>Playgroup</v>
      </c>
      <c r="F9" s="57">
        <f>Input!B102</f>
        <v>1050</v>
      </c>
      <c r="J9" s="47">
        <f>$F9*Input!$B$33*Input!$B$28*Input!$B$11</f>
        <v>5670</v>
      </c>
      <c r="K9" s="47">
        <f>$F9*Input!$B$33*Input!$B$28*Input!$B$11</f>
        <v>5670</v>
      </c>
      <c r="L9" s="47">
        <f>$F9*Input!$B$33*Input!$B$28*Input!$B$11</f>
        <v>5670</v>
      </c>
      <c r="M9" s="47">
        <f>J9*(1+Input!$B$36)</f>
        <v>5953.5</v>
      </c>
      <c r="N9" s="47">
        <f>K9*(1+Input!$B$36)</f>
        <v>5953.5</v>
      </c>
      <c r="O9" s="47">
        <f>L9*(1+Input!$B$36)</f>
        <v>5953.5</v>
      </c>
      <c r="P9" s="47">
        <f>M9*(1+Input!$B$36)</f>
        <v>6251.1750000000002</v>
      </c>
      <c r="Q9" s="47">
        <f>N9*(1+Input!$B$36)</f>
        <v>6251.1750000000002</v>
      </c>
      <c r="R9" s="47">
        <f>O9*(1+Input!$B$36)</f>
        <v>6251.1750000000002</v>
      </c>
      <c r="S9" s="47">
        <f>P9*(1+Input!$B$36)</f>
        <v>6563.7337500000003</v>
      </c>
      <c r="T9" s="47">
        <f>Q9*(1+Input!$B$36)</f>
        <v>6563.7337500000003</v>
      </c>
      <c r="U9" s="47">
        <f>R9*(1+Input!$B$36)</f>
        <v>6563.7337500000003</v>
      </c>
      <c r="V9" s="47">
        <f>S9*(1+Input!$B$36)</f>
        <v>6891.9204375000008</v>
      </c>
      <c r="W9" s="47">
        <f>T9*(1+Input!$B$36)</f>
        <v>6891.9204375000008</v>
      </c>
      <c r="X9" s="47">
        <f>U9*(1+Input!$B$36)</f>
        <v>6891.9204375000008</v>
      </c>
      <c r="Y9" s="47">
        <f>V9*(1+Input!$B$36)</f>
        <v>7236.5164593750014</v>
      </c>
      <c r="Z9" s="47">
        <f>W9*(1+Input!$B$36)</f>
        <v>7236.5164593750014</v>
      </c>
      <c r="AA9" s="47">
        <f>X9*(1+Input!$B$36)</f>
        <v>7236.5164593750014</v>
      </c>
      <c r="AB9" s="47">
        <f>Y9*(1+Input!$B$36)</f>
        <v>7598.3422823437522</v>
      </c>
      <c r="AC9" s="47">
        <f>Z9*(1+Input!$B$36)</f>
        <v>7598.3422823437522</v>
      </c>
      <c r="AD9" s="47">
        <f>AA9*(1+Input!$B$36)</f>
        <v>7598.3422823437522</v>
      </c>
      <c r="AE9" s="47">
        <f>AB9*(1+Input!$B$36)</f>
        <v>7978.2593964609405</v>
      </c>
      <c r="AF9" s="47">
        <f>AC9*(1+Input!$B$36)</f>
        <v>7978.2593964609405</v>
      </c>
      <c r="AG9" s="47">
        <f>AD9*(1+Input!$B$36)</f>
        <v>7978.2593964609405</v>
      </c>
      <c r="AH9" s="47">
        <f>AE9*(1+Input!$B$36)</f>
        <v>8377.1723662839886</v>
      </c>
      <c r="AI9" s="47">
        <f>AF9*(1+Input!$B$36)</f>
        <v>8377.1723662839886</v>
      </c>
      <c r="AJ9" s="47">
        <f>AG9*(1+Input!$B$36)</f>
        <v>8377.1723662839886</v>
      </c>
    </row>
    <row r="10" spans="1:36" x14ac:dyDescent="0.25">
      <c r="E10" s="64" t="str">
        <f>Input!A103</f>
        <v xml:space="preserve">Nursery </v>
      </c>
      <c r="F10" s="57">
        <f>Input!B103</f>
        <v>1050</v>
      </c>
      <c r="J10" s="47">
        <f>$F10*Input!$B$33*Input!$B$28*Input!$B$11</f>
        <v>5670</v>
      </c>
      <c r="K10" s="47">
        <f>$F10*Input!$B$33*Input!$B$28*Input!$B$11</f>
        <v>5670</v>
      </c>
      <c r="L10" s="47">
        <f>$F10*Input!$B$33*Input!$B$28*Input!$B$11</f>
        <v>5670</v>
      </c>
      <c r="M10" s="47">
        <f>J10*(1+Input!$B$36)</f>
        <v>5953.5</v>
      </c>
      <c r="N10" s="47">
        <f>K10*(1+Input!$B$36)</f>
        <v>5953.5</v>
      </c>
      <c r="O10" s="47">
        <f>L10*(1+Input!$B$36)</f>
        <v>5953.5</v>
      </c>
      <c r="P10" s="47">
        <f>M10*(1+Input!$B$36)</f>
        <v>6251.1750000000002</v>
      </c>
      <c r="Q10" s="47">
        <f>N10*(1+Input!$B$36)</f>
        <v>6251.1750000000002</v>
      </c>
      <c r="R10" s="47">
        <f>O10*(1+Input!$B$36)</f>
        <v>6251.1750000000002</v>
      </c>
      <c r="S10" s="47">
        <f>P10*(1+Input!$B$36)</f>
        <v>6563.7337500000003</v>
      </c>
      <c r="T10" s="47">
        <f>Q10*(1+Input!$B$36)</f>
        <v>6563.7337500000003</v>
      </c>
      <c r="U10" s="47">
        <f>R10*(1+Input!$B$36)</f>
        <v>6563.7337500000003</v>
      </c>
      <c r="V10" s="47">
        <f>S10*(1+Input!$B$36)</f>
        <v>6891.9204375000008</v>
      </c>
      <c r="W10" s="47">
        <f>T10*(1+Input!$B$36)</f>
        <v>6891.9204375000008</v>
      </c>
      <c r="X10" s="47">
        <f>U10*(1+Input!$B$36)</f>
        <v>6891.9204375000008</v>
      </c>
      <c r="Y10" s="47">
        <f>V10*(1+Input!$B$36)</f>
        <v>7236.5164593750014</v>
      </c>
      <c r="Z10" s="47">
        <f>W10*(1+Input!$B$36)</f>
        <v>7236.5164593750014</v>
      </c>
      <c r="AA10" s="47">
        <f>X10*(1+Input!$B$36)</f>
        <v>7236.5164593750014</v>
      </c>
      <c r="AB10" s="47">
        <f>Y10*(1+Input!$B$36)</f>
        <v>7598.3422823437522</v>
      </c>
      <c r="AC10" s="47">
        <f>Z10*(1+Input!$B$36)</f>
        <v>7598.3422823437522</v>
      </c>
      <c r="AD10" s="47">
        <f>AA10*(1+Input!$B$36)</f>
        <v>7598.3422823437522</v>
      </c>
      <c r="AE10" s="47">
        <f>AB10*(1+Input!$B$36)</f>
        <v>7978.2593964609405</v>
      </c>
      <c r="AF10" s="47">
        <f>AC10*(1+Input!$B$36)</f>
        <v>7978.2593964609405</v>
      </c>
      <c r="AG10" s="47">
        <f>AD10*(1+Input!$B$36)</f>
        <v>7978.2593964609405</v>
      </c>
      <c r="AH10" s="47">
        <f>AE10*(1+Input!$B$36)</f>
        <v>8377.1723662839886</v>
      </c>
      <c r="AI10" s="47">
        <f>AF10*(1+Input!$B$36)</f>
        <v>8377.1723662839886</v>
      </c>
      <c r="AJ10" s="47">
        <f>AG10*(1+Input!$B$36)</f>
        <v>8377.1723662839886</v>
      </c>
    </row>
    <row r="11" spans="1:36" x14ac:dyDescent="0.25">
      <c r="E11" s="64" t="str">
        <f>Input!A104</f>
        <v xml:space="preserve">Reception 1 </v>
      </c>
      <c r="F11" s="57">
        <f>Input!B104</f>
        <v>1050</v>
      </c>
      <c r="J11" s="47">
        <f>$F11*Input!$B$33*Input!$B$28*Input!$B$11</f>
        <v>5670</v>
      </c>
      <c r="K11" s="47">
        <f>$F11*Input!$B$33*Input!$B$28*Input!$B$11</f>
        <v>5670</v>
      </c>
      <c r="L11" s="47">
        <f>$F11*Input!$B$33*Input!$B$28*Input!$B$11</f>
        <v>5670</v>
      </c>
      <c r="M11" s="47">
        <f>J11*(1+Input!$B$36)</f>
        <v>5953.5</v>
      </c>
      <c r="N11" s="47">
        <f>K11*(1+Input!$B$36)</f>
        <v>5953.5</v>
      </c>
      <c r="O11" s="47">
        <f>L11*(1+Input!$B$36)</f>
        <v>5953.5</v>
      </c>
      <c r="P11" s="47">
        <f>M11*(1+Input!$B$36)</f>
        <v>6251.1750000000002</v>
      </c>
      <c r="Q11" s="47">
        <f>N11*(1+Input!$B$36)</f>
        <v>6251.1750000000002</v>
      </c>
      <c r="R11" s="47">
        <f>O11*(1+Input!$B$36)</f>
        <v>6251.1750000000002</v>
      </c>
      <c r="S11" s="47">
        <f>P11*(1+Input!$B$36)</f>
        <v>6563.7337500000003</v>
      </c>
      <c r="T11" s="47">
        <f>Q11*(1+Input!$B$36)</f>
        <v>6563.7337500000003</v>
      </c>
      <c r="U11" s="47">
        <f>R11*(1+Input!$B$36)</f>
        <v>6563.7337500000003</v>
      </c>
      <c r="V11" s="47">
        <f>S11*(1+Input!$B$36)</f>
        <v>6891.9204375000008</v>
      </c>
      <c r="W11" s="47">
        <f>T11*(1+Input!$B$36)</f>
        <v>6891.9204375000008</v>
      </c>
      <c r="X11" s="47">
        <f>U11*(1+Input!$B$36)</f>
        <v>6891.9204375000008</v>
      </c>
      <c r="Y11" s="47">
        <f>V11*(1+Input!$B$36)</f>
        <v>7236.5164593750014</v>
      </c>
      <c r="Z11" s="47">
        <f>W11*(1+Input!$B$36)</f>
        <v>7236.5164593750014</v>
      </c>
      <c r="AA11" s="47">
        <f>X11*(1+Input!$B$36)</f>
        <v>7236.5164593750014</v>
      </c>
      <c r="AB11" s="47">
        <f>Y11*(1+Input!$B$36)</f>
        <v>7598.3422823437522</v>
      </c>
      <c r="AC11" s="47">
        <f>Z11*(1+Input!$B$36)</f>
        <v>7598.3422823437522</v>
      </c>
      <c r="AD11" s="47">
        <f>AA11*(1+Input!$B$36)</f>
        <v>7598.3422823437522</v>
      </c>
      <c r="AE11" s="47">
        <f>AB11*(1+Input!$B$36)</f>
        <v>7978.2593964609405</v>
      </c>
      <c r="AF11" s="47">
        <f>AC11*(1+Input!$B$36)</f>
        <v>7978.2593964609405</v>
      </c>
      <c r="AG11" s="47">
        <f>AD11*(1+Input!$B$36)</f>
        <v>7978.2593964609405</v>
      </c>
      <c r="AH11" s="47">
        <f>AE11*(1+Input!$B$36)</f>
        <v>8377.1723662839886</v>
      </c>
      <c r="AI11" s="47">
        <f>AF11*(1+Input!$B$36)</f>
        <v>8377.1723662839886</v>
      </c>
      <c r="AJ11" s="47">
        <f>AG11*(1+Input!$B$36)</f>
        <v>8377.1723662839886</v>
      </c>
    </row>
    <row r="12" spans="1:36" x14ac:dyDescent="0.25">
      <c r="E12" s="64" t="str">
        <f>Input!A105</f>
        <v xml:space="preserve">Reception 2 </v>
      </c>
      <c r="F12" s="57">
        <f>Input!B105</f>
        <v>1050</v>
      </c>
      <c r="J12" s="47">
        <f>$F12*Input!$B$33*Input!$B$28*Input!$B$11</f>
        <v>5670</v>
      </c>
      <c r="K12" s="47">
        <f>$F12*Input!$B$33*Input!$B$28*Input!$B$11</f>
        <v>5670</v>
      </c>
      <c r="L12" s="47">
        <f>$F12*Input!$B$33*Input!$B$28*Input!$B$11</f>
        <v>5670</v>
      </c>
      <c r="M12" s="47">
        <f>J12*(1+Input!$B$36)</f>
        <v>5953.5</v>
      </c>
      <c r="N12" s="47">
        <f>K12*(1+Input!$B$36)</f>
        <v>5953.5</v>
      </c>
      <c r="O12" s="47">
        <f>L12*(1+Input!$B$36)</f>
        <v>5953.5</v>
      </c>
      <c r="P12" s="47">
        <f>M12*(1+Input!$B$36)</f>
        <v>6251.1750000000002</v>
      </c>
      <c r="Q12" s="47">
        <f>N12*(1+Input!$B$36)</f>
        <v>6251.1750000000002</v>
      </c>
      <c r="R12" s="47">
        <f>O12*(1+Input!$B$36)</f>
        <v>6251.1750000000002</v>
      </c>
      <c r="S12" s="47">
        <f>P12*(1+Input!$B$36)</f>
        <v>6563.7337500000003</v>
      </c>
      <c r="T12" s="47">
        <f>Q12*(1+Input!$B$36)</f>
        <v>6563.7337500000003</v>
      </c>
      <c r="U12" s="47">
        <f>R12*(1+Input!$B$36)</f>
        <v>6563.7337500000003</v>
      </c>
      <c r="V12" s="47">
        <f>S12*(1+Input!$B$36)</f>
        <v>6891.9204375000008</v>
      </c>
      <c r="W12" s="47">
        <f>T12*(1+Input!$B$36)</f>
        <v>6891.9204375000008</v>
      </c>
      <c r="X12" s="47">
        <f>U12*(1+Input!$B$36)</f>
        <v>6891.9204375000008</v>
      </c>
      <c r="Y12" s="47">
        <f>V12*(1+Input!$B$36)</f>
        <v>7236.5164593750014</v>
      </c>
      <c r="Z12" s="47">
        <f>W12*(1+Input!$B$36)</f>
        <v>7236.5164593750014</v>
      </c>
      <c r="AA12" s="47">
        <f>X12*(1+Input!$B$36)</f>
        <v>7236.5164593750014</v>
      </c>
      <c r="AB12" s="47">
        <f>Y12*(1+Input!$B$36)</f>
        <v>7598.3422823437522</v>
      </c>
      <c r="AC12" s="47">
        <f>Z12*(1+Input!$B$36)</f>
        <v>7598.3422823437522</v>
      </c>
      <c r="AD12" s="47">
        <f>AA12*(1+Input!$B$36)</f>
        <v>7598.3422823437522</v>
      </c>
      <c r="AE12" s="47">
        <f>AB12*(1+Input!$B$36)</f>
        <v>7978.2593964609405</v>
      </c>
      <c r="AF12" s="47">
        <f>AC12*(1+Input!$B$36)</f>
        <v>7978.2593964609405</v>
      </c>
      <c r="AG12" s="47">
        <f>AD12*(1+Input!$B$36)</f>
        <v>7978.2593964609405</v>
      </c>
      <c r="AH12" s="47">
        <f>AE12*(1+Input!$B$36)</f>
        <v>8377.1723662839886</v>
      </c>
      <c r="AI12" s="47">
        <f>AF12*(1+Input!$B$36)</f>
        <v>8377.1723662839886</v>
      </c>
      <c r="AJ12" s="47">
        <f>AG12*(1+Input!$B$36)</f>
        <v>8377.1723662839886</v>
      </c>
    </row>
    <row r="13" spans="1:36" x14ac:dyDescent="0.25">
      <c r="E13" s="64" t="str">
        <f>Input!A106</f>
        <v>Year 1</v>
      </c>
      <c r="F13" s="57">
        <f>Input!B106</f>
        <v>1050</v>
      </c>
      <c r="J13" s="47">
        <f>$F13*Input!$B$33*Input!$B$28*Input!$B$11</f>
        <v>5670</v>
      </c>
      <c r="K13" s="47">
        <f>$F13*Input!$B$33*Input!$B$28*Input!$B$11</f>
        <v>5670</v>
      </c>
      <c r="L13" s="47">
        <f>$F13*Input!$B$33*Input!$B$28*Input!$B$11</f>
        <v>5670</v>
      </c>
      <c r="M13" s="47">
        <f>J13*(1+Input!$B$36)</f>
        <v>5953.5</v>
      </c>
      <c r="N13" s="47">
        <f>K13*(1+Input!$B$36)</f>
        <v>5953.5</v>
      </c>
      <c r="O13" s="47">
        <f>L13*(1+Input!$B$36)</f>
        <v>5953.5</v>
      </c>
      <c r="P13" s="47">
        <f>M13*(1+Input!$B$36)</f>
        <v>6251.1750000000002</v>
      </c>
      <c r="Q13" s="47">
        <f>N13*(1+Input!$B$36)</f>
        <v>6251.1750000000002</v>
      </c>
      <c r="R13" s="47">
        <f>O13*(1+Input!$B$36)</f>
        <v>6251.1750000000002</v>
      </c>
      <c r="S13" s="47">
        <f>P13*(1+Input!$B$36)</f>
        <v>6563.7337500000003</v>
      </c>
      <c r="T13" s="47">
        <f>Q13*(1+Input!$B$36)</f>
        <v>6563.7337500000003</v>
      </c>
      <c r="U13" s="47">
        <f>R13*(1+Input!$B$36)</f>
        <v>6563.7337500000003</v>
      </c>
      <c r="V13" s="47">
        <f>S13*(1+Input!$B$36)</f>
        <v>6891.9204375000008</v>
      </c>
      <c r="W13" s="47">
        <f>T13*(1+Input!$B$36)</f>
        <v>6891.9204375000008</v>
      </c>
      <c r="X13" s="47">
        <f>U13*(1+Input!$B$36)</f>
        <v>6891.9204375000008</v>
      </c>
      <c r="Y13" s="47">
        <f>V13*(1+Input!$B$36)</f>
        <v>7236.5164593750014</v>
      </c>
      <c r="Z13" s="47">
        <f>W13*(1+Input!$B$36)</f>
        <v>7236.5164593750014</v>
      </c>
      <c r="AA13" s="47">
        <f>X13*(1+Input!$B$36)</f>
        <v>7236.5164593750014</v>
      </c>
      <c r="AB13" s="47">
        <f>Y13*(1+Input!$B$36)</f>
        <v>7598.3422823437522</v>
      </c>
      <c r="AC13" s="47">
        <f>Z13*(1+Input!$B$36)</f>
        <v>7598.3422823437522</v>
      </c>
      <c r="AD13" s="47">
        <f>AA13*(1+Input!$B$36)</f>
        <v>7598.3422823437522</v>
      </c>
      <c r="AE13" s="47">
        <f>AB13*(1+Input!$B$36)</f>
        <v>7978.2593964609405</v>
      </c>
      <c r="AF13" s="47">
        <f>AC13*(1+Input!$B$36)</f>
        <v>7978.2593964609405</v>
      </c>
      <c r="AG13" s="47">
        <f>AD13*(1+Input!$B$36)</f>
        <v>7978.2593964609405</v>
      </c>
      <c r="AH13" s="47">
        <f>AE13*(1+Input!$B$36)</f>
        <v>8377.1723662839886</v>
      </c>
      <c r="AI13" s="47">
        <f>AF13*(1+Input!$B$36)</f>
        <v>8377.1723662839886</v>
      </c>
      <c r="AJ13" s="47">
        <f>AG13*(1+Input!$B$36)</f>
        <v>8377.1723662839886</v>
      </c>
    </row>
    <row r="14" spans="1:36" x14ac:dyDescent="0.25">
      <c r="E14" s="64" t="str">
        <f>Input!A107</f>
        <v>Year 2</v>
      </c>
      <c r="F14" s="57">
        <f>Input!B107</f>
        <v>1050</v>
      </c>
      <c r="J14" s="47">
        <f>$F14*Input!$B$33*Input!$B$28*Input!$B$11</f>
        <v>5670</v>
      </c>
      <c r="K14" s="47">
        <f>$F14*Input!$B$33*Input!$B$28*Input!$B$11</f>
        <v>5670</v>
      </c>
      <c r="L14" s="47">
        <f>$F14*Input!$B$33*Input!$B$28*Input!$B$11</f>
        <v>5670</v>
      </c>
      <c r="M14" s="47">
        <f>J14*(1+Input!$B$36)</f>
        <v>5953.5</v>
      </c>
      <c r="N14" s="47">
        <f>K14*(1+Input!$B$36)</f>
        <v>5953.5</v>
      </c>
      <c r="O14" s="47">
        <f>L14*(1+Input!$B$36)</f>
        <v>5953.5</v>
      </c>
      <c r="P14" s="47">
        <f>M14*(1+Input!$B$36)</f>
        <v>6251.1750000000002</v>
      </c>
      <c r="Q14" s="47">
        <f>N14*(1+Input!$B$36)</f>
        <v>6251.1750000000002</v>
      </c>
      <c r="R14" s="47">
        <f>O14*(1+Input!$B$36)</f>
        <v>6251.1750000000002</v>
      </c>
      <c r="S14" s="47">
        <f>P14*(1+Input!$B$36)</f>
        <v>6563.7337500000003</v>
      </c>
      <c r="T14" s="47">
        <f>Q14*(1+Input!$B$36)</f>
        <v>6563.7337500000003</v>
      </c>
      <c r="U14" s="47">
        <f>R14*(1+Input!$B$36)</f>
        <v>6563.7337500000003</v>
      </c>
      <c r="V14" s="47">
        <f>S14*(1+Input!$B$36)</f>
        <v>6891.9204375000008</v>
      </c>
      <c r="W14" s="47">
        <f>T14*(1+Input!$B$36)</f>
        <v>6891.9204375000008</v>
      </c>
      <c r="X14" s="47">
        <f>U14*(1+Input!$B$36)</f>
        <v>6891.9204375000008</v>
      </c>
      <c r="Y14" s="47">
        <f>V14*(1+Input!$B$36)</f>
        <v>7236.5164593750014</v>
      </c>
      <c r="Z14" s="47">
        <f>W14*(1+Input!$B$36)</f>
        <v>7236.5164593750014</v>
      </c>
      <c r="AA14" s="47">
        <f>X14*(1+Input!$B$36)</f>
        <v>7236.5164593750014</v>
      </c>
      <c r="AB14" s="47">
        <f>Y14*(1+Input!$B$36)</f>
        <v>7598.3422823437522</v>
      </c>
      <c r="AC14" s="47">
        <f>Z14*(1+Input!$B$36)</f>
        <v>7598.3422823437522</v>
      </c>
      <c r="AD14" s="47">
        <f>AA14*(1+Input!$B$36)</f>
        <v>7598.3422823437522</v>
      </c>
      <c r="AE14" s="47">
        <f>AB14*(1+Input!$B$36)</f>
        <v>7978.2593964609405</v>
      </c>
      <c r="AF14" s="47">
        <f>AC14*(1+Input!$B$36)</f>
        <v>7978.2593964609405</v>
      </c>
      <c r="AG14" s="47">
        <f>AD14*(1+Input!$B$36)</f>
        <v>7978.2593964609405</v>
      </c>
      <c r="AH14" s="47">
        <f>AE14*(1+Input!$B$36)</f>
        <v>8377.1723662839886</v>
      </c>
      <c r="AI14" s="47">
        <f>AF14*(1+Input!$B$36)</f>
        <v>8377.1723662839886</v>
      </c>
      <c r="AJ14" s="47">
        <f>AG14*(1+Input!$B$36)</f>
        <v>8377.1723662839886</v>
      </c>
    </row>
    <row r="15" spans="1:36" x14ac:dyDescent="0.25">
      <c r="E15" s="64" t="str">
        <f>Input!A108</f>
        <v>Year 3</v>
      </c>
      <c r="F15" s="57">
        <f>Input!B108</f>
        <v>1050</v>
      </c>
      <c r="J15" s="47">
        <f>$F15*Input!$B$33*Input!$B$28*Input!$B$11</f>
        <v>5670</v>
      </c>
      <c r="K15" s="47">
        <f>$F15*Input!$B$33*Input!$B$28*Input!$B$11</f>
        <v>5670</v>
      </c>
      <c r="L15" s="47">
        <f>$F15*Input!$B$33*Input!$B$28*Input!$B$11</f>
        <v>5670</v>
      </c>
      <c r="M15" s="47">
        <f>J15*(1+Input!$B$36)</f>
        <v>5953.5</v>
      </c>
      <c r="N15" s="47">
        <f>K15*(1+Input!$B$36)</f>
        <v>5953.5</v>
      </c>
      <c r="O15" s="47">
        <f>L15*(1+Input!$B$36)</f>
        <v>5953.5</v>
      </c>
      <c r="P15" s="47">
        <f>M15*(1+Input!$B$36)</f>
        <v>6251.1750000000002</v>
      </c>
      <c r="Q15" s="47">
        <f>N15*(1+Input!$B$36)</f>
        <v>6251.1750000000002</v>
      </c>
      <c r="R15" s="47">
        <f>O15*(1+Input!$B$36)</f>
        <v>6251.1750000000002</v>
      </c>
      <c r="S15" s="47">
        <f>P15*(1+Input!$B$36)</f>
        <v>6563.7337500000003</v>
      </c>
      <c r="T15" s="47">
        <f>Q15*(1+Input!$B$36)</f>
        <v>6563.7337500000003</v>
      </c>
      <c r="U15" s="47">
        <f>R15*(1+Input!$B$36)</f>
        <v>6563.7337500000003</v>
      </c>
      <c r="V15" s="47">
        <f>S15*(1+Input!$B$36)</f>
        <v>6891.9204375000008</v>
      </c>
      <c r="W15" s="47">
        <f>T15*(1+Input!$B$36)</f>
        <v>6891.9204375000008</v>
      </c>
      <c r="X15" s="47">
        <f>U15*(1+Input!$B$36)</f>
        <v>6891.9204375000008</v>
      </c>
      <c r="Y15" s="47">
        <f>V15*(1+Input!$B$36)</f>
        <v>7236.5164593750014</v>
      </c>
      <c r="Z15" s="47">
        <f>W15*(1+Input!$B$36)</f>
        <v>7236.5164593750014</v>
      </c>
      <c r="AA15" s="47">
        <f>X15*(1+Input!$B$36)</f>
        <v>7236.5164593750014</v>
      </c>
      <c r="AB15" s="47">
        <f>Y15*(1+Input!$B$36)</f>
        <v>7598.3422823437522</v>
      </c>
      <c r="AC15" s="47">
        <f>Z15*(1+Input!$B$36)</f>
        <v>7598.3422823437522</v>
      </c>
      <c r="AD15" s="47">
        <f>AA15*(1+Input!$B$36)</f>
        <v>7598.3422823437522</v>
      </c>
      <c r="AE15" s="47">
        <f>AB15*(1+Input!$B$36)</f>
        <v>7978.2593964609405</v>
      </c>
      <c r="AF15" s="47">
        <f>AC15*(1+Input!$B$36)</f>
        <v>7978.2593964609405</v>
      </c>
      <c r="AG15" s="47">
        <f>AD15*(1+Input!$B$36)</f>
        <v>7978.2593964609405</v>
      </c>
      <c r="AH15" s="47">
        <f>AE15*(1+Input!$B$36)</f>
        <v>8377.1723662839886</v>
      </c>
      <c r="AI15" s="47">
        <f>AF15*(1+Input!$B$36)</f>
        <v>8377.1723662839886</v>
      </c>
      <c r="AJ15" s="47">
        <f>AG15*(1+Input!$B$36)</f>
        <v>8377.1723662839886</v>
      </c>
    </row>
    <row r="16" spans="1:36" x14ac:dyDescent="0.25">
      <c r="E16" s="64" t="str">
        <f>Input!A109</f>
        <v>Year 4</v>
      </c>
      <c r="F16" s="57">
        <f>Input!B109</f>
        <v>1050</v>
      </c>
      <c r="J16" s="47">
        <f>$F16*Input!$B$33*Input!$B$28*Input!$B$11</f>
        <v>5670</v>
      </c>
      <c r="K16" s="47">
        <f>$F16*Input!$B$33*Input!$B$28*Input!$B$11</f>
        <v>5670</v>
      </c>
      <c r="L16" s="47">
        <f>$F16*Input!$B$33*Input!$B$28*Input!$B$11</f>
        <v>5670</v>
      </c>
      <c r="M16" s="47">
        <f>J16*(1+Input!$B$36)</f>
        <v>5953.5</v>
      </c>
      <c r="N16" s="47">
        <f>K16*(1+Input!$B$36)</f>
        <v>5953.5</v>
      </c>
      <c r="O16" s="47">
        <f>L16*(1+Input!$B$36)</f>
        <v>5953.5</v>
      </c>
      <c r="P16" s="47">
        <f>M16*(1+Input!$B$36)</f>
        <v>6251.1750000000002</v>
      </c>
      <c r="Q16" s="47">
        <f>N16*(1+Input!$B$36)</f>
        <v>6251.1750000000002</v>
      </c>
      <c r="R16" s="47">
        <f>O16*(1+Input!$B$36)</f>
        <v>6251.1750000000002</v>
      </c>
      <c r="S16" s="47">
        <f>P16*(1+Input!$B$36)</f>
        <v>6563.7337500000003</v>
      </c>
      <c r="T16" s="47">
        <f>Q16*(1+Input!$B$36)</f>
        <v>6563.7337500000003</v>
      </c>
      <c r="U16" s="47">
        <f>R16*(1+Input!$B$36)</f>
        <v>6563.7337500000003</v>
      </c>
      <c r="V16" s="47">
        <f>S16*(1+Input!$B$36)</f>
        <v>6891.9204375000008</v>
      </c>
      <c r="W16" s="47">
        <f>T16*(1+Input!$B$36)</f>
        <v>6891.9204375000008</v>
      </c>
      <c r="X16" s="47">
        <f>U16*(1+Input!$B$36)</f>
        <v>6891.9204375000008</v>
      </c>
      <c r="Y16" s="47">
        <f>V16*(1+Input!$B$36)</f>
        <v>7236.5164593750014</v>
      </c>
      <c r="Z16" s="47">
        <f>W16*(1+Input!$B$36)</f>
        <v>7236.5164593750014</v>
      </c>
      <c r="AA16" s="47">
        <f>X16*(1+Input!$B$36)</f>
        <v>7236.5164593750014</v>
      </c>
      <c r="AB16" s="47">
        <f>Y16*(1+Input!$B$36)</f>
        <v>7598.3422823437522</v>
      </c>
      <c r="AC16" s="47">
        <f>Z16*(1+Input!$B$36)</f>
        <v>7598.3422823437522</v>
      </c>
      <c r="AD16" s="47">
        <f>AA16*(1+Input!$B$36)</f>
        <v>7598.3422823437522</v>
      </c>
      <c r="AE16" s="47">
        <f>AB16*(1+Input!$B$36)</f>
        <v>7978.2593964609405</v>
      </c>
      <c r="AF16" s="47">
        <f>AC16*(1+Input!$B$36)</f>
        <v>7978.2593964609405</v>
      </c>
      <c r="AG16" s="47">
        <f>AD16*(1+Input!$B$36)</f>
        <v>7978.2593964609405</v>
      </c>
      <c r="AH16" s="47">
        <f>AE16*(1+Input!$B$36)</f>
        <v>8377.1723662839886</v>
      </c>
      <c r="AI16" s="47">
        <f>AF16*(1+Input!$B$36)</f>
        <v>8377.1723662839886</v>
      </c>
      <c r="AJ16" s="47">
        <f>AG16*(1+Input!$B$36)</f>
        <v>8377.1723662839886</v>
      </c>
    </row>
    <row r="17" spans="3:37" x14ac:dyDescent="0.25">
      <c r="E17" s="64" t="str">
        <f>Input!A110</f>
        <v>Year 5</v>
      </c>
      <c r="F17" s="57">
        <f>Input!B110</f>
        <v>1050</v>
      </c>
      <c r="J17" s="47">
        <f>$F17*Input!$B$33*Input!$B$28*Input!$B$11</f>
        <v>5670</v>
      </c>
      <c r="K17" s="47">
        <f>$F17*Input!$B$33*Input!$B$28*Input!$B$11</f>
        <v>5670</v>
      </c>
      <c r="L17" s="47">
        <f>$F17*Input!$B$33*Input!$B$28*Input!$B$11</f>
        <v>5670</v>
      </c>
      <c r="M17" s="47">
        <f>J17*(1+Input!$B$36)</f>
        <v>5953.5</v>
      </c>
      <c r="N17" s="47">
        <f>K17*(1+Input!$B$36)</f>
        <v>5953.5</v>
      </c>
      <c r="O17" s="47">
        <f>L17*(1+Input!$B$36)</f>
        <v>5953.5</v>
      </c>
      <c r="P17" s="47">
        <f>M17*(1+Input!$B$36)</f>
        <v>6251.1750000000002</v>
      </c>
      <c r="Q17" s="47">
        <f>N17*(1+Input!$B$36)</f>
        <v>6251.1750000000002</v>
      </c>
      <c r="R17" s="47">
        <f>O17*(1+Input!$B$36)</f>
        <v>6251.1750000000002</v>
      </c>
      <c r="S17" s="47">
        <f>P17*(1+Input!$B$36)</f>
        <v>6563.7337500000003</v>
      </c>
      <c r="T17" s="47">
        <f>Q17*(1+Input!$B$36)</f>
        <v>6563.7337500000003</v>
      </c>
      <c r="U17" s="47">
        <f>R17*(1+Input!$B$36)</f>
        <v>6563.7337500000003</v>
      </c>
      <c r="V17" s="47">
        <f>S17*(1+Input!$B$36)</f>
        <v>6891.9204375000008</v>
      </c>
      <c r="W17" s="47">
        <f>T17*(1+Input!$B$36)</f>
        <v>6891.9204375000008</v>
      </c>
      <c r="X17" s="47">
        <f>U17*(1+Input!$B$36)</f>
        <v>6891.9204375000008</v>
      </c>
      <c r="Y17" s="47">
        <f>V17*(1+Input!$B$36)</f>
        <v>7236.5164593750014</v>
      </c>
      <c r="Z17" s="47">
        <f>W17*(1+Input!$B$36)</f>
        <v>7236.5164593750014</v>
      </c>
      <c r="AA17" s="47">
        <f>X17*(1+Input!$B$36)</f>
        <v>7236.5164593750014</v>
      </c>
      <c r="AB17" s="47">
        <f>Y17*(1+Input!$B$36)</f>
        <v>7598.3422823437522</v>
      </c>
      <c r="AC17" s="47">
        <f>Z17*(1+Input!$B$36)</f>
        <v>7598.3422823437522</v>
      </c>
      <c r="AD17" s="47">
        <f>AA17*(1+Input!$B$36)</f>
        <v>7598.3422823437522</v>
      </c>
      <c r="AE17" s="47">
        <f>AB17*(1+Input!$B$36)</f>
        <v>7978.2593964609405</v>
      </c>
      <c r="AF17" s="47">
        <f>AC17*(1+Input!$B$36)</f>
        <v>7978.2593964609405</v>
      </c>
      <c r="AG17" s="47">
        <f>AD17*(1+Input!$B$36)</f>
        <v>7978.2593964609405</v>
      </c>
      <c r="AH17" s="47">
        <f>AE17*(1+Input!$B$36)</f>
        <v>8377.1723662839886</v>
      </c>
      <c r="AI17" s="47">
        <f>AF17*(1+Input!$B$36)</f>
        <v>8377.1723662839886</v>
      </c>
      <c r="AJ17" s="47">
        <f>AG17*(1+Input!$B$36)</f>
        <v>8377.1723662839886</v>
      </c>
    </row>
    <row r="18" spans="3:37" x14ac:dyDescent="0.25">
      <c r="E18" s="64" t="str">
        <f>Input!A111</f>
        <v>Year 6</v>
      </c>
      <c r="F18" s="57">
        <f>Input!B111</f>
        <v>1050</v>
      </c>
      <c r="J18" s="47">
        <f>$F18*Input!$B$33*Input!$B$28*Input!$B$11</f>
        <v>5670</v>
      </c>
      <c r="K18" s="47">
        <f>$F18*Input!$B$33*Input!$B$28*Input!$B$11</f>
        <v>5670</v>
      </c>
      <c r="L18" s="47">
        <f>$F18*Input!$B$33*Input!$B$28*Input!$B$11</f>
        <v>5670</v>
      </c>
      <c r="M18" s="47">
        <f>J18*(1+Input!$B$36)</f>
        <v>5953.5</v>
      </c>
      <c r="N18" s="47">
        <f>K18*(1+Input!$B$36)</f>
        <v>5953.5</v>
      </c>
      <c r="O18" s="47">
        <f>L18*(1+Input!$B$36)</f>
        <v>5953.5</v>
      </c>
      <c r="P18" s="47">
        <f>M18*(1+Input!$B$36)</f>
        <v>6251.1750000000002</v>
      </c>
      <c r="Q18" s="47">
        <f>N18*(1+Input!$B$36)</f>
        <v>6251.1750000000002</v>
      </c>
      <c r="R18" s="47">
        <f>O18*(1+Input!$B$36)</f>
        <v>6251.1750000000002</v>
      </c>
      <c r="S18" s="47">
        <f>P18*(1+Input!$B$36)</f>
        <v>6563.7337500000003</v>
      </c>
      <c r="T18" s="47">
        <f>Q18*(1+Input!$B$36)</f>
        <v>6563.7337500000003</v>
      </c>
      <c r="U18" s="47">
        <f>R18*(1+Input!$B$36)</f>
        <v>6563.7337500000003</v>
      </c>
      <c r="V18" s="47">
        <f>S18*(1+Input!$B$36)</f>
        <v>6891.9204375000008</v>
      </c>
      <c r="W18" s="47">
        <f>T18*(1+Input!$B$36)</f>
        <v>6891.9204375000008</v>
      </c>
      <c r="X18" s="47">
        <f>U18*(1+Input!$B$36)</f>
        <v>6891.9204375000008</v>
      </c>
      <c r="Y18" s="47">
        <f>V18*(1+Input!$B$36)</f>
        <v>7236.5164593750014</v>
      </c>
      <c r="Z18" s="47">
        <f>W18*(1+Input!$B$36)</f>
        <v>7236.5164593750014</v>
      </c>
      <c r="AA18" s="47">
        <f>X18*(1+Input!$B$36)</f>
        <v>7236.5164593750014</v>
      </c>
      <c r="AB18" s="47">
        <f>Y18*(1+Input!$B$36)</f>
        <v>7598.3422823437522</v>
      </c>
      <c r="AC18" s="47">
        <f>Z18*(1+Input!$B$36)</f>
        <v>7598.3422823437522</v>
      </c>
      <c r="AD18" s="47">
        <f>AA18*(1+Input!$B$36)</f>
        <v>7598.3422823437522</v>
      </c>
      <c r="AE18" s="47">
        <f>AB18*(1+Input!$B$36)</f>
        <v>7978.2593964609405</v>
      </c>
      <c r="AF18" s="47">
        <f>AC18*(1+Input!$B$36)</f>
        <v>7978.2593964609405</v>
      </c>
      <c r="AG18" s="47">
        <f>AD18*(1+Input!$B$36)</f>
        <v>7978.2593964609405</v>
      </c>
      <c r="AH18" s="47">
        <f>AE18*(1+Input!$B$36)</f>
        <v>8377.1723662839886</v>
      </c>
      <c r="AI18" s="47">
        <f>AF18*(1+Input!$B$36)</f>
        <v>8377.1723662839886</v>
      </c>
      <c r="AJ18" s="47">
        <f>AG18*(1+Input!$B$36)</f>
        <v>8377.1723662839886</v>
      </c>
    </row>
    <row r="19" spans="3:37" x14ac:dyDescent="0.25">
      <c r="E19" s="64" t="str">
        <f>Input!A112</f>
        <v>Year 7</v>
      </c>
      <c r="F19" s="57">
        <f>Input!B112</f>
        <v>1050</v>
      </c>
      <c r="J19" s="47">
        <f>$F19*Input!$B$33*Input!$B$28*Input!$B$11</f>
        <v>5670</v>
      </c>
      <c r="K19" s="47">
        <f>$F19*Input!$B$33*Input!$B$28*Input!$B$11</f>
        <v>5670</v>
      </c>
      <c r="L19" s="47">
        <f>$F19*Input!$B$33*Input!$B$28*Input!$B$11</f>
        <v>5670</v>
      </c>
      <c r="M19" s="47">
        <f>J19*(1+Input!$B$36)</f>
        <v>5953.5</v>
      </c>
      <c r="N19" s="47">
        <f>K19*(1+Input!$B$36)</f>
        <v>5953.5</v>
      </c>
      <c r="O19" s="47">
        <f>L19*(1+Input!$B$36)</f>
        <v>5953.5</v>
      </c>
      <c r="P19" s="47">
        <f>M19*(1+Input!$B$36)</f>
        <v>6251.1750000000002</v>
      </c>
      <c r="Q19" s="47">
        <f>N19*(1+Input!$B$36)</f>
        <v>6251.1750000000002</v>
      </c>
      <c r="R19" s="47">
        <f>O19*(1+Input!$B$36)</f>
        <v>6251.1750000000002</v>
      </c>
      <c r="S19" s="47">
        <f>P19*(1+Input!$B$36)</f>
        <v>6563.7337500000003</v>
      </c>
      <c r="T19" s="47">
        <f>Q19*(1+Input!$B$36)</f>
        <v>6563.7337500000003</v>
      </c>
      <c r="U19" s="47">
        <f>R19*(1+Input!$B$36)</f>
        <v>6563.7337500000003</v>
      </c>
      <c r="V19" s="47">
        <f>S19*(1+Input!$B$36)</f>
        <v>6891.9204375000008</v>
      </c>
      <c r="W19" s="47">
        <f>T19*(1+Input!$B$36)</f>
        <v>6891.9204375000008</v>
      </c>
      <c r="X19" s="47">
        <f>U19*(1+Input!$B$36)</f>
        <v>6891.9204375000008</v>
      </c>
      <c r="Y19" s="47">
        <f>V19*(1+Input!$B$36)</f>
        <v>7236.5164593750014</v>
      </c>
      <c r="Z19" s="47">
        <f>W19*(1+Input!$B$36)</f>
        <v>7236.5164593750014</v>
      </c>
      <c r="AA19" s="47">
        <f>X19*(1+Input!$B$36)</f>
        <v>7236.5164593750014</v>
      </c>
      <c r="AB19" s="47">
        <f>Y19*(1+Input!$B$36)</f>
        <v>7598.3422823437522</v>
      </c>
      <c r="AC19" s="47">
        <f>Z19*(1+Input!$B$36)</f>
        <v>7598.3422823437522</v>
      </c>
      <c r="AD19" s="47">
        <f>AA19*(1+Input!$B$36)</f>
        <v>7598.3422823437522</v>
      </c>
      <c r="AE19" s="47">
        <f>AB19*(1+Input!$B$36)</f>
        <v>7978.2593964609405</v>
      </c>
      <c r="AF19" s="47">
        <f>AC19*(1+Input!$B$36)</f>
        <v>7978.2593964609405</v>
      </c>
      <c r="AG19" s="47">
        <f>AD19*(1+Input!$B$36)</f>
        <v>7978.2593964609405</v>
      </c>
      <c r="AH19" s="47">
        <f>AE19*(1+Input!$B$36)</f>
        <v>8377.1723662839886</v>
      </c>
      <c r="AI19" s="47">
        <f>AF19*(1+Input!$B$36)</f>
        <v>8377.1723662839886</v>
      </c>
      <c r="AJ19" s="47">
        <f>AG19*(1+Input!$B$36)</f>
        <v>8377.1723662839886</v>
      </c>
    </row>
    <row r="20" spans="3:37" x14ac:dyDescent="0.25">
      <c r="E20" s="64" t="str">
        <f>Input!A113</f>
        <v>Year 8</v>
      </c>
      <c r="F20" s="57">
        <f>Input!B113</f>
        <v>1050</v>
      </c>
      <c r="J20" s="47">
        <f>$F20*Input!$B$33*Input!$B$28*Input!$B$11</f>
        <v>5670</v>
      </c>
      <c r="K20" s="47">
        <f>$F20*Input!$B$33*Input!$B$28*Input!$B$11</f>
        <v>5670</v>
      </c>
      <c r="L20" s="47">
        <f>$F20*Input!$B$33*Input!$B$28*Input!$B$11</f>
        <v>5670</v>
      </c>
      <c r="M20" s="47">
        <f>J20*(1+Input!$B$36)</f>
        <v>5953.5</v>
      </c>
      <c r="N20" s="47">
        <f>K20*(1+Input!$B$36)</f>
        <v>5953.5</v>
      </c>
      <c r="O20" s="47">
        <f>L20*(1+Input!$B$36)</f>
        <v>5953.5</v>
      </c>
      <c r="P20" s="47">
        <f>M20*(1+Input!$B$36)</f>
        <v>6251.1750000000002</v>
      </c>
      <c r="Q20" s="47">
        <f>N20*(1+Input!$B$36)</f>
        <v>6251.1750000000002</v>
      </c>
      <c r="R20" s="47">
        <f>O20*(1+Input!$B$36)</f>
        <v>6251.1750000000002</v>
      </c>
      <c r="S20" s="47">
        <f>P20*(1+Input!$B$36)</f>
        <v>6563.7337500000003</v>
      </c>
      <c r="T20" s="47">
        <f>Q20*(1+Input!$B$36)</f>
        <v>6563.7337500000003</v>
      </c>
      <c r="U20" s="47">
        <f>R20*(1+Input!$B$36)</f>
        <v>6563.7337500000003</v>
      </c>
      <c r="V20" s="47">
        <f>S20*(1+Input!$B$36)</f>
        <v>6891.9204375000008</v>
      </c>
      <c r="W20" s="47">
        <f>T20*(1+Input!$B$36)</f>
        <v>6891.9204375000008</v>
      </c>
      <c r="X20" s="47">
        <f>U20*(1+Input!$B$36)</f>
        <v>6891.9204375000008</v>
      </c>
      <c r="Y20" s="47">
        <f>V20*(1+Input!$B$36)</f>
        <v>7236.5164593750014</v>
      </c>
      <c r="Z20" s="47">
        <f>W20*(1+Input!$B$36)</f>
        <v>7236.5164593750014</v>
      </c>
      <c r="AA20" s="47">
        <f>X20*(1+Input!$B$36)</f>
        <v>7236.5164593750014</v>
      </c>
      <c r="AB20" s="47">
        <f>Y20*(1+Input!$B$36)</f>
        <v>7598.3422823437522</v>
      </c>
      <c r="AC20" s="47">
        <f>Z20*(1+Input!$B$36)</f>
        <v>7598.3422823437522</v>
      </c>
      <c r="AD20" s="47">
        <f>AA20*(1+Input!$B$36)</f>
        <v>7598.3422823437522</v>
      </c>
      <c r="AE20" s="47">
        <f>AB20*(1+Input!$B$36)</f>
        <v>7978.2593964609405</v>
      </c>
      <c r="AF20" s="47">
        <f>AC20*(1+Input!$B$36)</f>
        <v>7978.2593964609405</v>
      </c>
      <c r="AG20" s="47">
        <f>AD20*(1+Input!$B$36)</f>
        <v>7978.2593964609405</v>
      </c>
      <c r="AH20" s="47">
        <f>AE20*(1+Input!$B$36)</f>
        <v>8377.1723662839886</v>
      </c>
      <c r="AI20" s="47">
        <f>AF20*(1+Input!$B$36)</f>
        <v>8377.1723662839886</v>
      </c>
      <c r="AJ20" s="47">
        <f>AG20*(1+Input!$B$36)</f>
        <v>8377.1723662839886</v>
      </c>
    </row>
    <row r="21" spans="3:37" x14ac:dyDescent="0.25">
      <c r="E21" s="64" t="str">
        <f>Input!A114</f>
        <v>Year 9</v>
      </c>
      <c r="F21" s="57">
        <f>Input!B114</f>
        <v>1050</v>
      </c>
      <c r="J21" s="47">
        <f>$F21*Input!$B$33*Input!$B$28*Input!$B$11</f>
        <v>5670</v>
      </c>
      <c r="K21" s="47">
        <f>$F21*Input!$B$33*Input!$B$28*Input!$B$11</f>
        <v>5670</v>
      </c>
      <c r="L21" s="47">
        <f>$F21*Input!$B$33*Input!$B$28*Input!$B$11</f>
        <v>5670</v>
      </c>
      <c r="M21" s="47">
        <f>J21*(1+Input!$B$36)</f>
        <v>5953.5</v>
      </c>
      <c r="N21" s="47">
        <f>K21*(1+Input!$B$36)</f>
        <v>5953.5</v>
      </c>
      <c r="O21" s="47">
        <f>L21*(1+Input!$B$36)</f>
        <v>5953.5</v>
      </c>
      <c r="P21" s="47">
        <f>M21*(1+Input!$B$36)</f>
        <v>6251.1750000000002</v>
      </c>
      <c r="Q21" s="47">
        <f>N21*(1+Input!$B$36)</f>
        <v>6251.1750000000002</v>
      </c>
      <c r="R21" s="47">
        <f>O21*(1+Input!$B$36)</f>
        <v>6251.1750000000002</v>
      </c>
      <c r="S21" s="47">
        <f>P21*(1+Input!$B$36)</f>
        <v>6563.7337500000003</v>
      </c>
      <c r="T21" s="47">
        <f>Q21*(1+Input!$B$36)</f>
        <v>6563.7337500000003</v>
      </c>
      <c r="U21" s="47">
        <f>R21*(1+Input!$B$36)</f>
        <v>6563.7337500000003</v>
      </c>
      <c r="V21" s="47">
        <f>S21*(1+Input!$B$36)</f>
        <v>6891.9204375000008</v>
      </c>
      <c r="W21" s="47">
        <f>T21*(1+Input!$B$36)</f>
        <v>6891.9204375000008</v>
      </c>
      <c r="X21" s="47">
        <f>U21*(1+Input!$B$36)</f>
        <v>6891.9204375000008</v>
      </c>
      <c r="Y21" s="47">
        <f>V21*(1+Input!$B$36)</f>
        <v>7236.5164593750014</v>
      </c>
      <c r="Z21" s="47">
        <f>W21*(1+Input!$B$36)</f>
        <v>7236.5164593750014</v>
      </c>
      <c r="AA21" s="47">
        <f>X21*(1+Input!$B$36)</f>
        <v>7236.5164593750014</v>
      </c>
      <c r="AB21" s="47">
        <f>Y21*(1+Input!$B$36)</f>
        <v>7598.3422823437522</v>
      </c>
      <c r="AC21" s="47">
        <f>Z21*(1+Input!$B$36)</f>
        <v>7598.3422823437522</v>
      </c>
      <c r="AD21" s="47">
        <f>AA21*(1+Input!$B$36)</f>
        <v>7598.3422823437522</v>
      </c>
      <c r="AE21" s="47">
        <f>AB21*(1+Input!$B$36)</f>
        <v>7978.2593964609405</v>
      </c>
      <c r="AF21" s="47">
        <f>AC21*(1+Input!$B$36)</f>
        <v>7978.2593964609405</v>
      </c>
      <c r="AG21" s="47">
        <f>AD21*(1+Input!$B$36)</f>
        <v>7978.2593964609405</v>
      </c>
      <c r="AH21" s="47">
        <f>AE21*(1+Input!$B$36)</f>
        <v>8377.1723662839886</v>
      </c>
      <c r="AI21" s="47">
        <f>AF21*(1+Input!$B$36)</f>
        <v>8377.1723662839886</v>
      </c>
      <c r="AJ21" s="47">
        <f>AG21*(1+Input!$B$36)</f>
        <v>8377.1723662839886</v>
      </c>
    </row>
    <row r="22" spans="3:37" x14ac:dyDescent="0.25">
      <c r="E22" s="64" t="str">
        <f>Input!A115</f>
        <v>Year 10</v>
      </c>
      <c r="F22" s="57">
        <f>Input!B115</f>
        <v>1050</v>
      </c>
      <c r="J22" s="47">
        <f>$F22*Input!$B$33*Input!$B$28*Input!$B$11</f>
        <v>5670</v>
      </c>
      <c r="K22" s="47">
        <f>$F22*Input!$B$33*Input!$B$28*Input!$B$11</f>
        <v>5670</v>
      </c>
      <c r="L22" s="47">
        <f>$F22*Input!$B$33*Input!$B$28*Input!$B$11</f>
        <v>5670</v>
      </c>
      <c r="M22" s="47">
        <f>J22*(1+Input!$B$36)</f>
        <v>5953.5</v>
      </c>
      <c r="N22" s="47">
        <f>K22*(1+Input!$B$36)</f>
        <v>5953.5</v>
      </c>
      <c r="O22" s="47">
        <f>L22*(1+Input!$B$36)</f>
        <v>5953.5</v>
      </c>
      <c r="P22" s="47">
        <f>M22*(1+Input!$B$36)</f>
        <v>6251.1750000000002</v>
      </c>
      <c r="Q22" s="47">
        <f>N22*(1+Input!$B$36)</f>
        <v>6251.1750000000002</v>
      </c>
      <c r="R22" s="47">
        <f>O22*(1+Input!$B$36)</f>
        <v>6251.1750000000002</v>
      </c>
      <c r="S22" s="47">
        <f>P22*(1+Input!$B$36)</f>
        <v>6563.7337500000003</v>
      </c>
      <c r="T22" s="47">
        <f>Q22*(1+Input!$B$36)</f>
        <v>6563.7337500000003</v>
      </c>
      <c r="U22" s="47">
        <f>R22*(1+Input!$B$36)</f>
        <v>6563.7337500000003</v>
      </c>
      <c r="V22" s="47">
        <f>S22*(1+Input!$B$36)</f>
        <v>6891.9204375000008</v>
      </c>
      <c r="W22" s="47">
        <f>T22*(1+Input!$B$36)</f>
        <v>6891.9204375000008</v>
      </c>
      <c r="X22" s="47">
        <f>U22*(1+Input!$B$36)</f>
        <v>6891.9204375000008</v>
      </c>
      <c r="Y22" s="47">
        <f>V22*(1+Input!$B$36)</f>
        <v>7236.5164593750014</v>
      </c>
      <c r="Z22" s="47">
        <f>W22*(1+Input!$B$36)</f>
        <v>7236.5164593750014</v>
      </c>
      <c r="AA22" s="47">
        <f>X22*(1+Input!$B$36)</f>
        <v>7236.5164593750014</v>
      </c>
      <c r="AB22" s="47">
        <f>Y22*(1+Input!$B$36)</f>
        <v>7598.3422823437522</v>
      </c>
      <c r="AC22" s="47">
        <f>Z22*(1+Input!$B$36)</f>
        <v>7598.3422823437522</v>
      </c>
      <c r="AD22" s="47">
        <f>AA22*(1+Input!$B$36)</f>
        <v>7598.3422823437522</v>
      </c>
      <c r="AE22" s="47">
        <f>AB22*(1+Input!$B$36)</f>
        <v>7978.2593964609405</v>
      </c>
      <c r="AF22" s="47">
        <f>AC22*(1+Input!$B$36)</f>
        <v>7978.2593964609405</v>
      </c>
      <c r="AG22" s="47">
        <f>AD22*(1+Input!$B$36)</f>
        <v>7978.2593964609405</v>
      </c>
      <c r="AH22" s="47">
        <f>AE22*(1+Input!$B$36)</f>
        <v>8377.1723662839886</v>
      </c>
      <c r="AI22" s="47">
        <f>AF22*(1+Input!$B$36)</f>
        <v>8377.1723662839886</v>
      </c>
      <c r="AJ22" s="47">
        <f>AG22*(1+Input!$B$36)</f>
        <v>8377.1723662839886</v>
      </c>
    </row>
    <row r="23" spans="3:37" x14ac:dyDescent="0.25">
      <c r="E23" s="64" t="str">
        <f>Input!A116</f>
        <v>Year 11</v>
      </c>
      <c r="F23" s="57">
        <f>Input!B116</f>
        <v>1050</v>
      </c>
      <c r="J23" s="47">
        <f>$F23*Input!$B$33*Input!$B$28*Input!$B$11</f>
        <v>5670</v>
      </c>
      <c r="K23" s="47">
        <f>$F23*Input!$B$33*Input!$B$28*Input!$B$11</f>
        <v>5670</v>
      </c>
      <c r="L23" s="47">
        <f>$F23*Input!$B$33*Input!$B$28*Input!$B$11</f>
        <v>5670</v>
      </c>
      <c r="M23" s="47">
        <f>J23*(1+Input!$B$36)</f>
        <v>5953.5</v>
      </c>
      <c r="N23" s="47">
        <f>K23*(1+Input!$B$36)</f>
        <v>5953.5</v>
      </c>
      <c r="O23" s="47">
        <f>L23*(1+Input!$B$36)</f>
        <v>5953.5</v>
      </c>
      <c r="P23" s="47">
        <f>M23*(1+Input!$B$36)</f>
        <v>6251.1750000000002</v>
      </c>
      <c r="Q23" s="47">
        <f>N23*(1+Input!$B$36)</f>
        <v>6251.1750000000002</v>
      </c>
      <c r="R23" s="47">
        <f>O23*(1+Input!$B$36)</f>
        <v>6251.1750000000002</v>
      </c>
      <c r="S23" s="47">
        <f>P23*(1+Input!$B$36)</f>
        <v>6563.7337500000003</v>
      </c>
      <c r="T23" s="47">
        <f>Q23*(1+Input!$B$36)</f>
        <v>6563.7337500000003</v>
      </c>
      <c r="U23" s="47">
        <f>R23*(1+Input!$B$36)</f>
        <v>6563.7337500000003</v>
      </c>
      <c r="V23" s="47">
        <f>S23*(1+Input!$B$36)</f>
        <v>6891.9204375000008</v>
      </c>
      <c r="W23" s="47">
        <f>T23*(1+Input!$B$36)</f>
        <v>6891.9204375000008</v>
      </c>
      <c r="X23" s="47">
        <f>U23*(1+Input!$B$36)</f>
        <v>6891.9204375000008</v>
      </c>
      <c r="Y23" s="47">
        <f>V23*(1+Input!$B$36)</f>
        <v>7236.5164593750014</v>
      </c>
      <c r="Z23" s="47">
        <f>W23*(1+Input!$B$36)</f>
        <v>7236.5164593750014</v>
      </c>
      <c r="AA23" s="47">
        <f>X23*(1+Input!$B$36)</f>
        <v>7236.5164593750014</v>
      </c>
      <c r="AB23" s="47">
        <f>Y23*(1+Input!$B$36)</f>
        <v>7598.3422823437522</v>
      </c>
      <c r="AC23" s="47">
        <f>Z23*(1+Input!$B$36)</f>
        <v>7598.3422823437522</v>
      </c>
      <c r="AD23" s="47">
        <f>AA23*(1+Input!$B$36)</f>
        <v>7598.3422823437522</v>
      </c>
      <c r="AE23" s="47">
        <f>AB23*(1+Input!$B$36)</f>
        <v>7978.2593964609405</v>
      </c>
      <c r="AF23" s="47">
        <f>AC23*(1+Input!$B$36)</f>
        <v>7978.2593964609405</v>
      </c>
      <c r="AG23" s="47">
        <f>AD23*(1+Input!$B$36)</f>
        <v>7978.2593964609405</v>
      </c>
      <c r="AH23" s="47">
        <f>AE23*(1+Input!$B$36)</f>
        <v>8377.1723662839886</v>
      </c>
      <c r="AI23" s="47">
        <f>AF23*(1+Input!$B$36)</f>
        <v>8377.1723662839886</v>
      </c>
      <c r="AJ23" s="47">
        <f>AG23*(1+Input!$B$36)</f>
        <v>8377.1723662839886</v>
      </c>
    </row>
    <row r="24" spans="3:37" x14ac:dyDescent="0.25">
      <c r="E24" s="64" t="str">
        <f>Input!A117</f>
        <v>Year 12</v>
      </c>
      <c r="F24" s="57">
        <f>Input!B117</f>
        <v>1050</v>
      </c>
      <c r="J24" s="47">
        <f>$F24*Input!$B$33*Input!$B$28*Input!$B$11</f>
        <v>5670</v>
      </c>
      <c r="K24" s="47">
        <f>$F24*Input!$B$33*Input!$B$28*Input!$B$11</f>
        <v>5670</v>
      </c>
      <c r="L24" s="47">
        <f>$F24*Input!$B$33*Input!$B$28*Input!$B$11</f>
        <v>5670</v>
      </c>
      <c r="M24" s="47">
        <f>J24*(1+Input!$B$36)</f>
        <v>5953.5</v>
      </c>
      <c r="N24" s="47">
        <f>K24*(1+Input!$B$36)</f>
        <v>5953.5</v>
      </c>
      <c r="O24" s="47">
        <f>L24*(1+Input!$B$36)</f>
        <v>5953.5</v>
      </c>
      <c r="P24" s="47">
        <f>M24*(1+Input!$B$36)</f>
        <v>6251.1750000000002</v>
      </c>
      <c r="Q24" s="47">
        <f>N24*(1+Input!$B$36)</f>
        <v>6251.1750000000002</v>
      </c>
      <c r="R24" s="47">
        <f>O24*(1+Input!$B$36)</f>
        <v>6251.1750000000002</v>
      </c>
      <c r="S24" s="47">
        <f>P24*(1+Input!$B$36)</f>
        <v>6563.7337500000003</v>
      </c>
      <c r="T24" s="47">
        <f>Q24*(1+Input!$B$36)</f>
        <v>6563.7337500000003</v>
      </c>
      <c r="U24" s="47">
        <f>R24*(1+Input!$B$36)</f>
        <v>6563.7337500000003</v>
      </c>
      <c r="V24" s="47">
        <f>S24*(1+Input!$B$36)</f>
        <v>6891.9204375000008</v>
      </c>
      <c r="W24" s="47">
        <f>T24*(1+Input!$B$36)</f>
        <v>6891.9204375000008</v>
      </c>
      <c r="X24" s="47">
        <f>U24*(1+Input!$B$36)</f>
        <v>6891.9204375000008</v>
      </c>
      <c r="Y24" s="47">
        <f>V24*(1+Input!$B$36)</f>
        <v>7236.5164593750014</v>
      </c>
      <c r="Z24" s="47">
        <f>W24*(1+Input!$B$36)</f>
        <v>7236.5164593750014</v>
      </c>
      <c r="AA24" s="47">
        <f>X24*(1+Input!$B$36)</f>
        <v>7236.5164593750014</v>
      </c>
      <c r="AB24" s="47">
        <f>Y24*(1+Input!$B$36)</f>
        <v>7598.3422823437522</v>
      </c>
      <c r="AC24" s="47">
        <f>Z24*(1+Input!$B$36)</f>
        <v>7598.3422823437522</v>
      </c>
      <c r="AD24" s="47">
        <f>AA24*(1+Input!$B$36)</f>
        <v>7598.3422823437522</v>
      </c>
      <c r="AE24" s="47">
        <f>AB24*(1+Input!$B$36)</f>
        <v>7978.2593964609405</v>
      </c>
      <c r="AF24" s="47">
        <f>AC24*(1+Input!$B$36)</f>
        <v>7978.2593964609405</v>
      </c>
      <c r="AG24" s="47">
        <f>AD24*(1+Input!$B$36)</f>
        <v>7978.2593964609405</v>
      </c>
      <c r="AH24" s="47">
        <f>AE24*(1+Input!$B$36)</f>
        <v>8377.1723662839886</v>
      </c>
      <c r="AI24" s="47">
        <f>AF24*(1+Input!$B$36)</f>
        <v>8377.1723662839886</v>
      </c>
      <c r="AJ24" s="47">
        <f>AG24*(1+Input!$B$36)</f>
        <v>8377.1723662839886</v>
      </c>
    </row>
    <row r="25" spans="3:37" x14ac:dyDescent="0.25">
      <c r="E25" s="64" t="str">
        <f>Input!A118</f>
        <v>Year 13</v>
      </c>
      <c r="F25" s="57">
        <f>Input!B118</f>
        <v>1050</v>
      </c>
      <c r="J25" s="47">
        <f>$F25*Input!$B$33*Input!$B$28*Input!$B$11</f>
        <v>5670</v>
      </c>
      <c r="K25" s="47">
        <f>$F25*Input!$B$33*Input!$B$28*Input!$B$11</f>
        <v>5670</v>
      </c>
      <c r="L25" s="47">
        <f>$F25*Input!$B$33*Input!$B$28*Input!$B$11</f>
        <v>5670</v>
      </c>
      <c r="M25" s="47">
        <f>J25*(1+Input!$B$36)</f>
        <v>5953.5</v>
      </c>
      <c r="N25" s="47">
        <f>K25*(1+Input!$B$36)</f>
        <v>5953.5</v>
      </c>
      <c r="O25" s="47">
        <f>L25*(1+Input!$B$36)</f>
        <v>5953.5</v>
      </c>
      <c r="P25" s="47">
        <f>M25*(1+Input!$B$36)</f>
        <v>6251.1750000000002</v>
      </c>
      <c r="Q25" s="47">
        <f>N25*(1+Input!$B$36)</f>
        <v>6251.1750000000002</v>
      </c>
      <c r="R25" s="47">
        <f>O25*(1+Input!$B$36)</f>
        <v>6251.1750000000002</v>
      </c>
      <c r="S25" s="47">
        <f>P25*(1+Input!$B$36)</f>
        <v>6563.7337500000003</v>
      </c>
      <c r="T25" s="47">
        <f>Q25*(1+Input!$B$36)</f>
        <v>6563.7337500000003</v>
      </c>
      <c r="U25" s="47">
        <f>R25*(1+Input!$B$36)</f>
        <v>6563.7337500000003</v>
      </c>
      <c r="V25" s="47">
        <f>S25*(1+Input!$B$36)</f>
        <v>6891.9204375000008</v>
      </c>
      <c r="W25" s="47">
        <f>T25*(1+Input!$B$36)</f>
        <v>6891.9204375000008</v>
      </c>
      <c r="X25" s="47">
        <f>U25*(1+Input!$B$36)</f>
        <v>6891.9204375000008</v>
      </c>
      <c r="Y25" s="47">
        <f>V25*(1+Input!$B$36)</f>
        <v>7236.5164593750014</v>
      </c>
      <c r="Z25" s="47">
        <f>W25*(1+Input!$B$36)</f>
        <v>7236.5164593750014</v>
      </c>
      <c r="AA25" s="47">
        <f>X25*(1+Input!$B$36)</f>
        <v>7236.5164593750014</v>
      </c>
      <c r="AB25" s="47">
        <f>Y25*(1+Input!$B$36)</f>
        <v>7598.3422823437522</v>
      </c>
      <c r="AC25" s="47">
        <f>Z25*(1+Input!$B$36)</f>
        <v>7598.3422823437522</v>
      </c>
      <c r="AD25" s="47">
        <f>AA25*(1+Input!$B$36)</f>
        <v>7598.3422823437522</v>
      </c>
      <c r="AE25" s="47">
        <f>AB25*(1+Input!$B$36)</f>
        <v>7978.2593964609405</v>
      </c>
      <c r="AF25" s="47">
        <f>AC25*(1+Input!$B$36)</f>
        <v>7978.2593964609405</v>
      </c>
      <c r="AG25" s="47">
        <f>AD25*(1+Input!$B$36)</f>
        <v>7978.2593964609405</v>
      </c>
      <c r="AH25" s="47">
        <f>AE25*(1+Input!$B$36)</f>
        <v>8377.1723662839886</v>
      </c>
      <c r="AI25" s="47">
        <f>AF25*(1+Input!$B$36)</f>
        <v>8377.1723662839886</v>
      </c>
      <c r="AJ25" s="47">
        <f>AG25*(1+Input!$B$36)</f>
        <v>8377.1723662839886</v>
      </c>
      <c r="AK25" s="47" t="s">
        <v>98</v>
      </c>
    </row>
    <row r="26" spans="3:37" x14ac:dyDescent="0.25">
      <c r="E26" s="64" t="str">
        <f>Input!A119</f>
        <v>Year 14</v>
      </c>
      <c r="F26" s="57">
        <f>Input!B119</f>
        <v>1050</v>
      </c>
      <c r="J26" s="47">
        <f>$F26*Input!$B$33*Input!$B$28*Input!$B$11</f>
        <v>5670</v>
      </c>
      <c r="K26" s="47">
        <f>$F26*Input!$B$33*Input!$B$28*Input!$B$11</f>
        <v>5670</v>
      </c>
      <c r="L26" s="47">
        <f>$F26*Input!$B$33*Input!$B$28*Input!$B$11</f>
        <v>5670</v>
      </c>
      <c r="M26" s="47">
        <f>J26*(1+Input!$B$36)</f>
        <v>5953.5</v>
      </c>
      <c r="N26" s="47">
        <f>K26*(1+Input!$B$36)</f>
        <v>5953.5</v>
      </c>
      <c r="O26" s="47">
        <f>L26*(1+Input!$B$36)</f>
        <v>5953.5</v>
      </c>
      <c r="P26" s="47">
        <f>M26*(1+Input!$B$36)</f>
        <v>6251.1750000000002</v>
      </c>
      <c r="Q26" s="47">
        <f>N26*(1+Input!$B$36)</f>
        <v>6251.1750000000002</v>
      </c>
      <c r="R26" s="47">
        <f>O26*(1+Input!$B$36)</f>
        <v>6251.1750000000002</v>
      </c>
      <c r="S26" s="47">
        <f>P26*(1+Input!$B$36)</f>
        <v>6563.7337500000003</v>
      </c>
      <c r="T26" s="47">
        <f>Q26*(1+Input!$B$36)</f>
        <v>6563.7337500000003</v>
      </c>
      <c r="U26" s="47">
        <f>R26*(1+Input!$B$36)</f>
        <v>6563.7337500000003</v>
      </c>
      <c r="V26" s="47">
        <f>S26*(1+Input!$B$36)</f>
        <v>6891.9204375000008</v>
      </c>
      <c r="W26" s="47">
        <f>T26*(1+Input!$B$36)</f>
        <v>6891.9204375000008</v>
      </c>
      <c r="X26" s="47">
        <f>U26*(1+Input!$B$36)</f>
        <v>6891.9204375000008</v>
      </c>
      <c r="Y26" s="47">
        <f>V26*(1+Input!$B$36)</f>
        <v>7236.5164593750014</v>
      </c>
      <c r="Z26" s="47">
        <f>W26*(1+Input!$B$36)</f>
        <v>7236.5164593750014</v>
      </c>
      <c r="AA26" s="47">
        <f>X26*(1+Input!$B$36)</f>
        <v>7236.5164593750014</v>
      </c>
      <c r="AB26" s="47">
        <f>Y26*(1+Input!$B$36)</f>
        <v>7598.3422823437522</v>
      </c>
      <c r="AC26" s="47">
        <f>Z26*(1+Input!$B$36)</f>
        <v>7598.3422823437522</v>
      </c>
      <c r="AD26" s="47">
        <f>AA26*(1+Input!$B$36)</f>
        <v>7598.3422823437522</v>
      </c>
      <c r="AE26" s="47">
        <f>AB26*(1+Input!$B$36)</f>
        <v>7978.2593964609405</v>
      </c>
      <c r="AF26" s="47">
        <f>AC26*(1+Input!$B$36)</f>
        <v>7978.2593964609405</v>
      </c>
      <c r="AG26" s="47">
        <f>AD26*(1+Input!$B$36)</f>
        <v>7978.2593964609405</v>
      </c>
      <c r="AH26" s="47">
        <f>AE26*(1+Input!$B$36)</f>
        <v>8377.1723662839886</v>
      </c>
      <c r="AI26" s="47">
        <f>AF26*(1+Input!$B$36)</f>
        <v>8377.1723662839886</v>
      </c>
      <c r="AJ26" s="47">
        <f>AG26*(1+Input!$B$36)</f>
        <v>8377.1723662839886</v>
      </c>
      <c r="AK26" s="47" t="s">
        <v>98</v>
      </c>
    </row>
    <row r="27" spans="3:37" x14ac:dyDescent="0.25">
      <c r="E27" s="64" t="s">
        <v>103</v>
      </c>
      <c r="F27" s="57"/>
      <c r="J27" s="47">
        <f>SUM(J8:J26)</f>
        <v>107730</v>
      </c>
      <c r="K27" s="47">
        <f t="shared" ref="K27:AJ27" si="0">SUM(K8:K26)</f>
        <v>107730</v>
      </c>
      <c r="L27" s="47">
        <f t="shared" si="0"/>
        <v>107730</v>
      </c>
      <c r="M27" s="47">
        <f t="shared" si="0"/>
        <v>113116.5</v>
      </c>
      <c r="N27" s="47">
        <f t="shared" si="0"/>
        <v>113116.5</v>
      </c>
      <c r="O27" s="47">
        <f t="shared" si="0"/>
        <v>113116.5</v>
      </c>
      <c r="P27" s="47">
        <f t="shared" si="0"/>
        <v>118772.32500000004</v>
      </c>
      <c r="Q27" s="47">
        <f t="shared" si="0"/>
        <v>118772.32500000004</v>
      </c>
      <c r="R27" s="47">
        <f t="shared" si="0"/>
        <v>118772.32500000004</v>
      </c>
      <c r="S27" s="47">
        <f t="shared" si="0"/>
        <v>124710.94125</v>
      </c>
      <c r="T27" s="47">
        <f t="shared" si="0"/>
        <v>124710.94125</v>
      </c>
      <c r="U27" s="47">
        <f t="shared" si="0"/>
        <v>124710.94125</v>
      </c>
      <c r="V27" s="47">
        <f t="shared" si="0"/>
        <v>130946.48831249996</v>
      </c>
      <c r="W27" s="47">
        <f t="shared" si="0"/>
        <v>130946.48831249996</v>
      </c>
      <c r="X27" s="47">
        <f t="shared" si="0"/>
        <v>130946.48831249996</v>
      </c>
      <c r="Y27" s="47">
        <f t="shared" si="0"/>
        <v>137493.81272812508</v>
      </c>
      <c r="Z27" s="47">
        <f t="shared" si="0"/>
        <v>137493.81272812508</v>
      </c>
      <c r="AA27" s="47">
        <f t="shared" si="0"/>
        <v>137493.81272812508</v>
      </c>
      <c r="AB27" s="47">
        <f t="shared" si="0"/>
        <v>144368.50336453132</v>
      </c>
      <c r="AC27" s="47">
        <f t="shared" si="0"/>
        <v>144368.50336453132</v>
      </c>
      <c r="AD27" s="47">
        <f t="shared" si="0"/>
        <v>144368.50336453132</v>
      </c>
      <c r="AE27" s="47">
        <f t="shared" si="0"/>
        <v>151586.92853275791</v>
      </c>
      <c r="AF27" s="47">
        <f t="shared" si="0"/>
        <v>151586.92853275791</v>
      </c>
      <c r="AG27" s="47">
        <f t="shared" si="0"/>
        <v>151586.92853275791</v>
      </c>
      <c r="AH27" s="47">
        <f t="shared" si="0"/>
        <v>159166.27495939579</v>
      </c>
      <c r="AI27" s="47">
        <f t="shared" si="0"/>
        <v>159166.27495939579</v>
      </c>
      <c r="AJ27" s="47">
        <f t="shared" si="0"/>
        <v>159166.27495939579</v>
      </c>
      <c r="AK27" s="47" t="s">
        <v>98</v>
      </c>
    </row>
    <row r="28" spans="3:37" x14ac:dyDescent="0.25">
      <c r="E28" s="64"/>
      <c r="F28" s="57"/>
    </row>
    <row r="29" spans="3:37" x14ac:dyDescent="0.25">
      <c r="C29" s="64" t="str">
        <f>Input!A124</f>
        <v>Stationaries</v>
      </c>
      <c r="E29" s="64"/>
      <c r="F29" s="57"/>
      <c r="AK29" s="47" t="s">
        <v>98</v>
      </c>
    </row>
    <row r="30" spans="3:37" x14ac:dyDescent="0.25">
      <c r="E30" s="64" t="str">
        <f>Input!A125</f>
        <v>Creche</v>
      </c>
      <c r="F30" s="57">
        <f>Input!B125</f>
        <v>140</v>
      </c>
      <c r="J30" s="47">
        <f>$F30*Input!$B$33*Input!$B$28*Input!$B$11</f>
        <v>756</v>
      </c>
      <c r="K30" s="47">
        <f>$F30*Input!$B$33*Input!$B$28*Input!$B$11</f>
        <v>756</v>
      </c>
      <c r="L30" s="47">
        <f>$F30*Input!$B$33*Input!$B$28*Input!$B$11</f>
        <v>756</v>
      </c>
      <c r="M30" s="47">
        <f>J30*(1+Input!$B$36)</f>
        <v>793.80000000000007</v>
      </c>
      <c r="N30" s="47">
        <f>K30*(1+Input!$B$36)</f>
        <v>793.80000000000007</v>
      </c>
      <c r="O30" s="47">
        <f>L30*(1+Input!$B$36)</f>
        <v>793.80000000000007</v>
      </c>
      <c r="P30" s="47">
        <f>M30*(1+Input!$B$36)</f>
        <v>833.49000000000012</v>
      </c>
      <c r="Q30" s="47">
        <f>N30*(1+Input!$B$36)</f>
        <v>833.49000000000012</v>
      </c>
      <c r="R30" s="47">
        <f>O30*(1+Input!$B$36)</f>
        <v>833.49000000000012</v>
      </c>
      <c r="S30" s="47">
        <f>P30*(1+Input!$B$36)</f>
        <v>875.1645000000002</v>
      </c>
      <c r="T30" s="47">
        <f>Q30*(1+Input!$B$36)</f>
        <v>875.1645000000002</v>
      </c>
      <c r="U30" s="47">
        <f>R30*(1+Input!$B$36)</f>
        <v>875.1645000000002</v>
      </c>
      <c r="V30" s="47">
        <f>S30*(1+Input!$B$36)</f>
        <v>918.92272500000024</v>
      </c>
      <c r="W30" s="47">
        <f>T30*(1+Input!$B$36)</f>
        <v>918.92272500000024</v>
      </c>
      <c r="X30" s="47">
        <f>U30*(1+Input!$B$36)</f>
        <v>918.92272500000024</v>
      </c>
      <c r="Y30" s="47">
        <f>V30*(1+Input!$B$36)</f>
        <v>964.86886125000035</v>
      </c>
      <c r="Z30" s="47">
        <f>W30*(1+Input!$B$36)</f>
        <v>964.86886125000035</v>
      </c>
      <c r="AA30" s="47">
        <f>X30*(1+Input!$B$36)</f>
        <v>964.86886125000035</v>
      </c>
      <c r="AB30" s="47">
        <f>Y30*(1+Input!$B$36)</f>
        <v>1013.1123043125004</v>
      </c>
      <c r="AC30" s="47">
        <f>Z30*(1+Input!$B$36)</f>
        <v>1013.1123043125004</v>
      </c>
      <c r="AD30" s="47">
        <f>AA30*(1+Input!$B$36)</f>
        <v>1013.1123043125004</v>
      </c>
      <c r="AE30" s="47">
        <f>AB30*(1+Input!$B$36)</f>
        <v>1063.7679195281255</v>
      </c>
      <c r="AF30" s="47">
        <f>AC30*(1+Input!$B$36)</f>
        <v>1063.7679195281255</v>
      </c>
      <c r="AG30" s="47">
        <f>AD30*(1+Input!$B$36)</f>
        <v>1063.7679195281255</v>
      </c>
      <c r="AH30" s="47">
        <f>AE30*(1+Input!$B$36)</f>
        <v>1116.9563155045319</v>
      </c>
      <c r="AI30" s="47">
        <f>AF30*(1+Input!$B$36)</f>
        <v>1116.9563155045319</v>
      </c>
      <c r="AJ30" s="47">
        <f>AG30*(1+Input!$B$36)</f>
        <v>1116.9563155045319</v>
      </c>
      <c r="AK30" s="47" t="s">
        <v>98</v>
      </c>
    </row>
    <row r="31" spans="3:37" x14ac:dyDescent="0.25">
      <c r="E31" s="64" t="str">
        <f>Input!A126</f>
        <v>Playgroup</v>
      </c>
      <c r="F31" s="57">
        <f>Input!B126</f>
        <v>140</v>
      </c>
      <c r="J31" s="47">
        <f>$F31*Input!$B$33*Input!$B$28*Input!$B$11</f>
        <v>756</v>
      </c>
      <c r="K31" s="47">
        <f>$F31*Input!$B$33*Input!$B$28*Input!$B$11</f>
        <v>756</v>
      </c>
      <c r="L31" s="47">
        <f>$F31*Input!$B$33*Input!$B$28*Input!$B$11</f>
        <v>756</v>
      </c>
      <c r="M31" s="47">
        <f>J31*(1+Input!$B$36)</f>
        <v>793.80000000000007</v>
      </c>
      <c r="N31" s="47">
        <f>K31*(1+Input!$B$36)</f>
        <v>793.80000000000007</v>
      </c>
      <c r="O31" s="47">
        <f>L31*(1+Input!$B$36)</f>
        <v>793.80000000000007</v>
      </c>
      <c r="P31" s="47">
        <f>M31*(1+Input!$B$36)</f>
        <v>833.49000000000012</v>
      </c>
      <c r="Q31" s="47">
        <f>N31*(1+Input!$B$36)</f>
        <v>833.49000000000012</v>
      </c>
      <c r="R31" s="47">
        <f>O31*(1+Input!$B$36)</f>
        <v>833.49000000000012</v>
      </c>
      <c r="S31" s="47">
        <f>P31*(1+Input!$B$36)</f>
        <v>875.1645000000002</v>
      </c>
      <c r="T31" s="47">
        <f>Q31*(1+Input!$B$36)</f>
        <v>875.1645000000002</v>
      </c>
      <c r="U31" s="47">
        <f>R31*(1+Input!$B$36)</f>
        <v>875.1645000000002</v>
      </c>
      <c r="V31" s="47">
        <f>S31*(1+Input!$B$36)</f>
        <v>918.92272500000024</v>
      </c>
      <c r="W31" s="47">
        <f>T31*(1+Input!$B$36)</f>
        <v>918.92272500000024</v>
      </c>
      <c r="X31" s="47">
        <f>U31*(1+Input!$B$36)</f>
        <v>918.92272500000024</v>
      </c>
      <c r="Y31" s="47">
        <f>V31*(1+Input!$B$36)</f>
        <v>964.86886125000035</v>
      </c>
      <c r="Z31" s="47">
        <f>W31*(1+Input!$B$36)</f>
        <v>964.86886125000035</v>
      </c>
      <c r="AA31" s="47">
        <f>X31*(1+Input!$B$36)</f>
        <v>964.86886125000035</v>
      </c>
      <c r="AB31" s="47">
        <f>Y31*(1+Input!$B$36)</f>
        <v>1013.1123043125004</v>
      </c>
      <c r="AC31" s="47">
        <f>Z31*(1+Input!$B$36)</f>
        <v>1013.1123043125004</v>
      </c>
      <c r="AD31" s="47">
        <f>AA31*(1+Input!$B$36)</f>
        <v>1013.1123043125004</v>
      </c>
      <c r="AE31" s="47">
        <f>AB31*(1+Input!$B$36)</f>
        <v>1063.7679195281255</v>
      </c>
      <c r="AF31" s="47">
        <f>AC31*(1+Input!$B$36)</f>
        <v>1063.7679195281255</v>
      </c>
      <c r="AG31" s="47">
        <f>AD31*(1+Input!$B$36)</f>
        <v>1063.7679195281255</v>
      </c>
      <c r="AH31" s="47">
        <f>AE31*(1+Input!$B$36)</f>
        <v>1116.9563155045319</v>
      </c>
      <c r="AI31" s="47">
        <f>AF31*(1+Input!$B$36)</f>
        <v>1116.9563155045319</v>
      </c>
      <c r="AJ31" s="47">
        <f>AG31*(1+Input!$B$36)</f>
        <v>1116.9563155045319</v>
      </c>
      <c r="AK31" s="47" t="s">
        <v>98</v>
      </c>
    </row>
    <row r="32" spans="3:37" x14ac:dyDescent="0.25">
      <c r="E32" s="64" t="str">
        <f>Input!A127</f>
        <v xml:space="preserve">Nursery </v>
      </c>
      <c r="F32" s="57">
        <f>Input!B127</f>
        <v>140</v>
      </c>
      <c r="J32" s="47">
        <f>$F32*Input!$B$33*Input!$B$28*Input!$B$11</f>
        <v>756</v>
      </c>
      <c r="K32" s="47">
        <f>$F32*Input!$B$33*Input!$B$28*Input!$B$11</f>
        <v>756</v>
      </c>
      <c r="L32" s="47">
        <f>$F32*Input!$B$33*Input!$B$28*Input!$B$11</f>
        <v>756</v>
      </c>
      <c r="M32" s="47">
        <f>J32*(1+Input!$B$36)</f>
        <v>793.80000000000007</v>
      </c>
      <c r="N32" s="47">
        <f>K32*(1+Input!$B$36)</f>
        <v>793.80000000000007</v>
      </c>
      <c r="O32" s="47">
        <f>L32*(1+Input!$B$36)</f>
        <v>793.80000000000007</v>
      </c>
      <c r="P32" s="47">
        <f>M32*(1+Input!$B$36)</f>
        <v>833.49000000000012</v>
      </c>
      <c r="Q32" s="47">
        <f>N32*(1+Input!$B$36)</f>
        <v>833.49000000000012</v>
      </c>
      <c r="R32" s="47">
        <f>O32*(1+Input!$B$36)</f>
        <v>833.49000000000012</v>
      </c>
      <c r="S32" s="47">
        <f>P32*(1+Input!$B$36)</f>
        <v>875.1645000000002</v>
      </c>
      <c r="T32" s="47">
        <f>Q32*(1+Input!$B$36)</f>
        <v>875.1645000000002</v>
      </c>
      <c r="U32" s="47">
        <f>R32*(1+Input!$B$36)</f>
        <v>875.1645000000002</v>
      </c>
      <c r="V32" s="47">
        <f>S32*(1+Input!$B$36)</f>
        <v>918.92272500000024</v>
      </c>
      <c r="W32" s="47">
        <f>T32*(1+Input!$B$36)</f>
        <v>918.92272500000024</v>
      </c>
      <c r="X32" s="47">
        <f>U32*(1+Input!$B$36)</f>
        <v>918.92272500000024</v>
      </c>
      <c r="Y32" s="47">
        <f>V32*(1+Input!$B$36)</f>
        <v>964.86886125000035</v>
      </c>
      <c r="Z32" s="47">
        <f>W32*(1+Input!$B$36)</f>
        <v>964.86886125000035</v>
      </c>
      <c r="AA32" s="47">
        <f>X32*(1+Input!$B$36)</f>
        <v>964.86886125000035</v>
      </c>
      <c r="AB32" s="47">
        <f>Y32*(1+Input!$B$36)</f>
        <v>1013.1123043125004</v>
      </c>
      <c r="AC32" s="47">
        <f>Z32*(1+Input!$B$36)</f>
        <v>1013.1123043125004</v>
      </c>
      <c r="AD32" s="47">
        <f>AA32*(1+Input!$B$36)</f>
        <v>1013.1123043125004</v>
      </c>
      <c r="AE32" s="47">
        <f>AB32*(1+Input!$B$36)</f>
        <v>1063.7679195281255</v>
      </c>
      <c r="AF32" s="47">
        <f>AC32*(1+Input!$B$36)</f>
        <v>1063.7679195281255</v>
      </c>
      <c r="AG32" s="47">
        <f>AD32*(1+Input!$B$36)</f>
        <v>1063.7679195281255</v>
      </c>
      <c r="AH32" s="47">
        <f>AE32*(1+Input!$B$36)</f>
        <v>1116.9563155045319</v>
      </c>
      <c r="AI32" s="47">
        <f>AF32*(1+Input!$B$36)</f>
        <v>1116.9563155045319</v>
      </c>
      <c r="AJ32" s="47">
        <f>AG32*(1+Input!$B$36)</f>
        <v>1116.9563155045319</v>
      </c>
      <c r="AK32" s="47" t="s">
        <v>98</v>
      </c>
    </row>
    <row r="33" spans="5:37" x14ac:dyDescent="0.25">
      <c r="E33" s="64" t="str">
        <f>Input!A128</f>
        <v xml:space="preserve">Reception 1 </v>
      </c>
      <c r="F33" s="57">
        <f>Input!B128</f>
        <v>140</v>
      </c>
      <c r="J33" s="47">
        <f>$F33*Input!$B$33*Input!$B$28*Input!$B$11</f>
        <v>756</v>
      </c>
      <c r="K33" s="47">
        <f>$F33*Input!$B$33*Input!$B$28*Input!$B$11</f>
        <v>756</v>
      </c>
      <c r="L33" s="47">
        <f>$F33*Input!$B$33*Input!$B$28*Input!$B$11</f>
        <v>756</v>
      </c>
      <c r="M33" s="47">
        <f>J33*(1+Input!$B$36)</f>
        <v>793.80000000000007</v>
      </c>
      <c r="N33" s="47">
        <f>K33*(1+Input!$B$36)</f>
        <v>793.80000000000007</v>
      </c>
      <c r="O33" s="47">
        <f>L33*(1+Input!$B$36)</f>
        <v>793.80000000000007</v>
      </c>
      <c r="P33" s="47">
        <f>M33*(1+Input!$B$36)</f>
        <v>833.49000000000012</v>
      </c>
      <c r="Q33" s="47">
        <f>N33*(1+Input!$B$36)</f>
        <v>833.49000000000012</v>
      </c>
      <c r="R33" s="47">
        <f>O33*(1+Input!$B$36)</f>
        <v>833.49000000000012</v>
      </c>
      <c r="S33" s="47">
        <f>P33*(1+Input!$B$36)</f>
        <v>875.1645000000002</v>
      </c>
      <c r="T33" s="47">
        <f>Q33*(1+Input!$B$36)</f>
        <v>875.1645000000002</v>
      </c>
      <c r="U33" s="47">
        <f>R33*(1+Input!$B$36)</f>
        <v>875.1645000000002</v>
      </c>
      <c r="V33" s="47">
        <f>S33*(1+Input!$B$36)</f>
        <v>918.92272500000024</v>
      </c>
      <c r="W33" s="47">
        <f>T33*(1+Input!$B$36)</f>
        <v>918.92272500000024</v>
      </c>
      <c r="X33" s="47">
        <f>U33*(1+Input!$B$36)</f>
        <v>918.92272500000024</v>
      </c>
      <c r="Y33" s="47">
        <f>V33*(1+Input!$B$36)</f>
        <v>964.86886125000035</v>
      </c>
      <c r="Z33" s="47">
        <f>W33*(1+Input!$B$36)</f>
        <v>964.86886125000035</v>
      </c>
      <c r="AA33" s="47">
        <f>X33*(1+Input!$B$36)</f>
        <v>964.86886125000035</v>
      </c>
      <c r="AB33" s="47">
        <f>Y33*(1+Input!$B$36)</f>
        <v>1013.1123043125004</v>
      </c>
      <c r="AC33" s="47">
        <f>Z33*(1+Input!$B$36)</f>
        <v>1013.1123043125004</v>
      </c>
      <c r="AD33" s="47">
        <f>AA33*(1+Input!$B$36)</f>
        <v>1013.1123043125004</v>
      </c>
      <c r="AE33" s="47">
        <f>AB33*(1+Input!$B$36)</f>
        <v>1063.7679195281255</v>
      </c>
      <c r="AF33" s="47">
        <f>AC33*(1+Input!$B$36)</f>
        <v>1063.7679195281255</v>
      </c>
      <c r="AG33" s="47">
        <f>AD33*(1+Input!$B$36)</f>
        <v>1063.7679195281255</v>
      </c>
      <c r="AH33" s="47">
        <f>AE33*(1+Input!$B$36)</f>
        <v>1116.9563155045319</v>
      </c>
      <c r="AI33" s="47">
        <f>AF33*(1+Input!$B$36)</f>
        <v>1116.9563155045319</v>
      </c>
      <c r="AJ33" s="47">
        <f>AG33*(1+Input!$B$36)</f>
        <v>1116.9563155045319</v>
      </c>
      <c r="AK33" s="47" t="s">
        <v>98</v>
      </c>
    </row>
    <row r="34" spans="5:37" x14ac:dyDescent="0.25">
      <c r="E34" s="64" t="str">
        <f>Input!A129</f>
        <v xml:space="preserve">Reception 2 </v>
      </c>
      <c r="F34" s="57">
        <f>Input!B129</f>
        <v>140</v>
      </c>
      <c r="J34" s="47">
        <f>$F34*Input!$B$33*Input!$B$28*Input!$B$11</f>
        <v>756</v>
      </c>
      <c r="K34" s="47">
        <f>$F34*Input!$B$33*Input!$B$28*Input!$B$11</f>
        <v>756</v>
      </c>
      <c r="L34" s="47">
        <f>$F34*Input!$B$33*Input!$B$28*Input!$B$11</f>
        <v>756</v>
      </c>
      <c r="M34" s="47">
        <f>J34*(1+Input!$B$36)</f>
        <v>793.80000000000007</v>
      </c>
      <c r="N34" s="47">
        <f>K34*(1+Input!$B$36)</f>
        <v>793.80000000000007</v>
      </c>
      <c r="O34" s="47">
        <f>L34*(1+Input!$B$36)</f>
        <v>793.80000000000007</v>
      </c>
      <c r="P34" s="47">
        <f>M34*(1+Input!$B$36)</f>
        <v>833.49000000000012</v>
      </c>
      <c r="Q34" s="47">
        <f>N34*(1+Input!$B$36)</f>
        <v>833.49000000000012</v>
      </c>
      <c r="R34" s="47">
        <f>O34*(1+Input!$B$36)</f>
        <v>833.49000000000012</v>
      </c>
      <c r="S34" s="47">
        <f>P34*(1+Input!$B$36)</f>
        <v>875.1645000000002</v>
      </c>
      <c r="T34" s="47">
        <f>Q34*(1+Input!$B$36)</f>
        <v>875.1645000000002</v>
      </c>
      <c r="U34" s="47">
        <f>R34*(1+Input!$B$36)</f>
        <v>875.1645000000002</v>
      </c>
      <c r="V34" s="47">
        <f>S34*(1+Input!$B$36)</f>
        <v>918.92272500000024</v>
      </c>
      <c r="W34" s="47">
        <f>T34*(1+Input!$B$36)</f>
        <v>918.92272500000024</v>
      </c>
      <c r="X34" s="47">
        <f>U34*(1+Input!$B$36)</f>
        <v>918.92272500000024</v>
      </c>
      <c r="Y34" s="47">
        <f>V34*(1+Input!$B$36)</f>
        <v>964.86886125000035</v>
      </c>
      <c r="Z34" s="47">
        <f>W34*(1+Input!$B$36)</f>
        <v>964.86886125000035</v>
      </c>
      <c r="AA34" s="47">
        <f>X34*(1+Input!$B$36)</f>
        <v>964.86886125000035</v>
      </c>
      <c r="AB34" s="47">
        <f>Y34*(1+Input!$B$36)</f>
        <v>1013.1123043125004</v>
      </c>
      <c r="AC34" s="47">
        <f>Z34*(1+Input!$B$36)</f>
        <v>1013.1123043125004</v>
      </c>
      <c r="AD34" s="47">
        <f>AA34*(1+Input!$B$36)</f>
        <v>1013.1123043125004</v>
      </c>
      <c r="AE34" s="47">
        <f>AB34*(1+Input!$B$36)</f>
        <v>1063.7679195281255</v>
      </c>
      <c r="AF34" s="47">
        <f>AC34*(1+Input!$B$36)</f>
        <v>1063.7679195281255</v>
      </c>
      <c r="AG34" s="47">
        <f>AD34*(1+Input!$B$36)</f>
        <v>1063.7679195281255</v>
      </c>
      <c r="AH34" s="47">
        <f>AE34*(1+Input!$B$36)</f>
        <v>1116.9563155045319</v>
      </c>
      <c r="AI34" s="47">
        <f>AF34*(1+Input!$B$36)</f>
        <v>1116.9563155045319</v>
      </c>
      <c r="AJ34" s="47">
        <f>AG34*(1+Input!$B$36)</f>
        <v>1116.9563155045319</v>
      </c>
      <c r="AK34" s="47" t="s">
        <v>98</v>
      </c>
    </row>
    <row r="35" spans="5:37" x14ac:dyDescent="0.25">
      <c r="E35" s="64" t="str">
        <f>Input!A130</f>
        <v>Year 1</v>
      </c>
      <c r="F35" s="57">
        <f>Input!B130</f>
        <v>140</v>
      </c>
      <c r="J35" s="47">
        <f>$F35*Input!$B$33*Input!$B$28*Input!$B$11</f>
        <v>756</v>
      </c>
      <c r="K35" s="47">
        <f>$F35*Input!$B$33*Input!$B$28*Input!$B$11</f>
        <v>756</v>
      </c>
      <c r="L35" s="47">
        <f>$F35*Input!$B$33*Input!$B$28*Input!$B$11</f>
        <v>756</v>
      </c>
      <c r="M35" s="47">
        <f>J35*(1+Input!$B$36)</f>
        <v>793.80000000000007</v>
      </c>
      <c r="N35" s="47">
        <f>K35*(1+Input!$B$36)</f>
        <v>793.80000000000007</v>
      </c>
      <c r="O35" s="47">
        <f>L35*(1+Input!$B$36)</f>
        <v>793.80000000000007</v>
      </c>
      <c r="P35" s="47">
        <f>M35*(1+Input!$B$36)</f>
        <v>833.49000000000012</v>
      </c>
      <c r="Q35" s="47">
        <f>N35*(1+Input!$B$36)</f>
        <v>833.49000000000012</v>
      </c>
      <c r="R35" s="47">
        <f>O35*(1+Input!$B$36)</f>
        <v>833.49000000000012</v>
      </c>
      <c r="S35" s="47">
        <f>P35*(1+Input!$B$36)</f>
        <v>875.1645000000002</v>
      </c>
      <c r="T35" s="47">
        <f>Q35*(1+Input!$B$36)</f>
        <v>875.1645000000002</v>
      </c>
      <c r="U35" s="47">
        <f>R35*(1+Input!$B$36)</f>
        <v>875.1645000000002</v>
      </c>
      <c r="V35" s="47">
        <f>S35*(1+Input!$B$36)</f>
        <v>918.92272500000024</v>
      </c>
      <c r="W35" s="47">
        <f>T35*(1+Input!$B$36)</f>
        <v>918.92272500000024</v>
      </c>
      <c r="X35" s="47">
        <f>U35*(1+Input!$B$36)</f>
        <v>918.92272500000024</v>
      </c>
      <c r="Y35" s="47">
        <f>V35*(1+Input!$B$36)</f>
        <v>964.86886125000035</v>
      </c>
      <c r="Z35" s="47">
        <f>W35*(1+Input!$B$36)</f>
        <v>964.86886125000035</v>
      </c>
      <c r="AA35" s="47">
        <f>X35*(1+Input!$B$36)</f>
        <v>964.86886125000035</v>
      </c>
      <c r="AB35" s="47">
        <f>Y35*(1+Input!$B$36)</f>
        <v>1013.1123043125004</v>
      </c>
      <c r="AC35" s="47">
        <f>Z35*(1+Input!$B$36)</f>
        <v>1013.1123043125004</v>
      </c>
      <c r="AD35" s="47">
        <f>AA35*(1+Input!$B$36)</f>
        <v>1013.1123043125004</v>
      </c>
      <c r="AE35" s="47">
        <f>AB35*(1+Input!$B$36)</f>
        <v>1063.7679195281255</v>
      </c>
      <c r="AF35" s="47">
        <f>AC35*(1+Input!$B$36)</f>
        <v>1063.7679195281255</v>
      </c>
      <c r="AG35" s="47">
        <f>AD35*(1+Input!$B$36)</f>
        <v>1063.7679195281255</v>
      </c>
      <c r="AH35" s="47">
        <f>AE35*(1+Input!$B$36)</f>
        <v>1116.9563155045319</v>
      </c>
      <c r="AI35" s="47">
        <f>AF35*(1+Input!$B$36)</f>
        <v>1116.9563155045319</v>
      </c>
      <c r="AJ35" s="47">
        <f>AG35*(1+Input!$B$36)</f>
        <v>1116.9563155045319</v>
      </c>
      <c r="AK35" s="47" t="s">
        <v>98</v>
      </c>
    </row>
    <row r="36" spans="5:37" x14ac:dyDescent="0.25">
      <c r="E36" s="64" t="str">
        <f>Input!A131</f>
        <v>Year 2</v>
      </c>
      <c r="F36" s="57">
        <f>Input!B131</f>
        <v>210</v>
      </c>
      <c r="J36" s="47">
        <f>$F36*Input!$B$33*Input!$B$28*Input!$B$11</f>
        <v>1134</v>
      </c>
      <c r="K36" s="47">
        <f>$F36*Input!$B$33*Input!$B$28*Input!$B$11</f>
        <v>1134</v>
      </c>
      <c r="L36" s="47">
        <f>$F36*Input!$B$33*Input!$B$28*Input!$B$11</f>
        <v>1134</v>
      </c>
      <c r="M36" s="47">
        <f>J36*(1+Input!$B$36)</f>
        <v>1190.7</v>
      </c>
      <c r="N36" s="47">
        <f>K36*(1+Input!$B$36)</f>
        <v>1190.7</v>
      </c>
      <c r="O36" s="47">
        <f>L36*(1+Input!$B$36)</f>
        <v>1190.7</v>
      </c>
      <c r="P36" s="47">
        <f>M36*(1+Input!$B$36)</f>
        <v>1250.2350000000001</v>
      </c>
      <c r="Q36" s="47">
        <f>N36*(1+Input!$B$36)</f>
        <v>1250.2350000000001</v>
      </c>
      <c r="R36" s="47">
        <f>O36*(1+Input!$B$36)</f>
        <v>1250.2350000000001</v>
      </c>
      <c r="S36" s="47">
        <f>P36*(1+Input!$B$36)</f>
        <v>1312.7467500000002</v>
      </c>
      <c r="T36" s="47">
        <f>Q36*(1+Input!$B$36)</f>
        <v>1312.7467500000002</v>
      </c>
      <c r="U36" s="47">
        <f>R36*(1+Input!$B$36)</f>
        <v>1312.7467500000002</v>
      </c>
      <c r="V36" s="47">
        <f>S36*(1+Input!$B$36)</f>
        <v>1378.3840875000003</v>
      </c>
      <c r="W36" s="47">
        <f>T36*(1+Input!$B$36)</f>
        <v>1378.3840875000003</v>
      </c>
      <c r="X36" s="47">
        <f>U36*(1+Input!$B$36)</f>
        <v>1378.3840875000003</v>
      </c>
      <c r="Y36" s="47">
        <f>V36*(1+Input!$B$36)</f>
        <v>1447.3032918750005</v>
      </c>
      <c r="Z36" s="47">
        <f>W36*(1+Input!$B$36)</f>
        <v>1447.3032918750005</v>
      </c>
      <c r="AA36" s="47">
        <f>X36*(1+Input!$B$36)</f>
        <v>1447.3032918750005</v>
      </c>
      <c r="AB36" s="47">
        <f>Y36*(1+Input!$B$36)</f>
        <v>1519.6684564687505</v>
      </c>
      <c r="AC36" s="47">
        <f>Z36*(1+Input!$B$36)</f>
        <v>1519.6684564687505</v>
      </c>
      <c r="AD36" s="47">
        <f>AA36*(1+Input!$B$36)</f>
        <v>1519.6684564687505</v>
      </c>
      <c r="AE36" s="47">
        <f>AB36*(1+Input!$B$36)</f>
        <v>1595.6518792921881</v>
      </c>
      <c r="AF36" s="47">
        <f>AC36*(1+Input!$B$36)</f>
        <v>1595.6518792921881</v>
      </c>
      <c r="AG36" s="47">
        <f>AD36*(1+Input!$B$36)</f>
        <v>1595.6518792921881</v>
      </c>
      <c r="AH36" s="47">
        <f>AE36*(1+Input!$B$36)</f>
        <v>1675.4344732567977</v>
      </c>
      <c r="AI36" s="47">
        <f>AF36*(1+Input!$B$36)</f>
        <v>1675.4344732567977</v>
      </c>
      <c r="AJ36" s="47">
        <f>AG36*(1+Input!$B$36)</f>
        <v>1675.4344732567977</v>
      </c>
      <c r="AK36" s="47" t="s">
        <v>98</v>
      </c>
    </row>
    <row r="37" spans="5:37" x14ac:dyDescent="0.25">
      <c r="E37" s="64" t="str">
        <f>Input!A132</f>
        <v>Year 3</v>
      </c>
      <c r="F37" s="57">
        <f>Input!B132</f>
        <v>570</v>
      </c>
      <c r="J37" s="47">
        <f>$F37*Input!$B$33*Input!$B$28*Input!$B$11</f>
        <v>3078</v>
      </c>
      <c r="K37" s="47">
        <f>$F37*Input!$B$33*Input!$B$28*Input!$B$11</f>
        <v>3078</v>
      </c>
      <c r="L37" s="47">
        <f>$F37*Input!$B$33*Input!$B$28*Input!$B$11</f>
        <v>3078</v>
      </c>
      <c r="M37" s="47">
        <f>J37*(1+Input!$B$36)</f>
        <v>3231.9</v>
      </c>
      <c r="N37" s="47">
        <f>K37*(1+Input!$B$36)</f>
        <v>3231.9</v>
      </c>
      <c r="O37" s="47">
        <f>L37*(1+Input!$B$36)</f>
        <v>3231.9</v>
      </c>
      <c r="P37" s="47">
        <f>M37*(1+Input!$B$36)</f>
        <v>3393.4950000000003</v>
      </c>
      <c r="Q37" s="47">
        <f>N37*(1+Input!$B$36)</f>
        <v>3393.4950000000003</v>
      </c>
      <c r="R37" s="47">
        <f>O37*(1+Input!$B$36)</f>
        <v>3393.4950000000003</v>
      </c>
      <c r="S37" s="47">
        <f>P37*(1+Input!$B$36)</f>
        <v>3563.1697500000005</v>
      </c>
      <c r="T37" s="47">
        <f>Q37*(1+Input!$B$36)</f>
        <v>3563.1697500000005</v>
      </c>
      <c r="U37" s="47">
        <f>R37*(1+Input!$B$36)</f>
        <v>3563.1697500000005</v>
      </c>
      <c r="V37" s="47">
        <f>S37*(1+Input!$B$36)</f>
        <v>3741.3282375000008</v>
      </c>
      <c r="W37" s="47">
        <f>T37*(1+Input!$B$36)</f>
        <v>3741.3282375000008</v>
      </c>
      <c r="X37" s="47">
        <f>U37*(1+Input!$B$36)</f>
        <v>3741.3282375000008</v>
      </c>
      <c r="Y37" s="47">
        <f>V37*(1+Input!$B$36)</f>
        <v>3928.3946493750009</v>
      </c>
      <c r="Z37" s="47">
        <f>W37*(1+Input!$B$36)</f>
        <v>3928.3946493750009</v>
      </c>
      <c r="AA37" s="47">
        <f>X37*(1+Input!$B$36)</f>
        <v>3928.3946493750009</v>
      </c>
      <c r="AB37" s="47">
        <f>Y37*(1+Input!$B$36)</f>
        <v>4124.8143818437511</v>
      </c>
      <c r="AC37" s="47">
        <f>Z37*(1+Input!$B$36)</f>
        <v>4124.8143818437511</v>
      </c>
      <c r="AD37" s="47">
        <f>AA37*(1+Input!$B$36)</f>
        <v>4124.8143818437511</v>
      </c>
      <c r="AE37" s="47">
        <f>AB37*(1+Input!$B$36)</f>
        <v>4331.0551009359388</v>
      </c>
      <c r="AF37" s="47">
        <f>AC37*(1+Input!$B$36)</f>
        <v>4331.0551009359388</v>
      </c>
      <c r="AG37" s="47">
        <f>AD37*(1+Input!$B$36)</f>
        <v>4331.0551009359388</v>
      </c>
      <c r="AH37" s="47">
        <f>AE37*(1+Input!$B$36)</f>
        <v>4547.6078559827356</v>
      </c>
      <c r="AI37" s="47">
        <f>AF37*(1+Input!$B$36)</f>
        <v>4547.6078559827356</v>
      </c>
      <c r="AJ37" s="47">
        <f>AG37*(1+Input!$B$36)</f>
        <v>4547.6078559827356</v>
      </c>
      <c r="AK37" s="47" t="s">
        <v>98</v>
      </c>
    </row>
    <row r="38" spans="5:37" x14ac:dyDescent="0.25">
      <c r="E38" s="64" t="str">
        <f>Input!A133</f>
        <v>Year 4</v>
      </c>
      <c r="F38" s="57">
        <f>Input!B133</f>
        <v>570</v>
      </c>
      <c r="J38" s="47">
        <f>$F38*Input!$B$33*Input!$B$28*Input!$B$11</f>
        <v>3078</v>
      </c>
      <c r="K38" s="47">
        <f>$F38*Input!$B$33*Input!$B$28*Input!$B$11</f>
        <v>3078</v>
      </c>
      <c r="L38" s="47">
        <f>$F38*Input!$B$33*Input!$B$28*Input!$B$11</f>
        <v>3078</v>
      </c>
      <c r="M38" s="47">
        <f>J38*(1+Input!$B$36)</f>
        <v>3231.9</v>
      </c>
      <c r="N38" s="47">
        <f>K38*(1+Input!$B$36)</f>
        <v>3231.9</v>
      </c>
      <c r="O38" s="47">
        <f>L38*(1+Input!$B$36)</f>
        <v>3231.9</v>
      </c>
      <c r="P38" s="47">
        <f>M38*(1+Input!$B$36)</f>
        <v>3393.4950000000003</v>
      </c>
      <c r="Q38" s="47">
        <f>N38*(1+Input!$B$36)</f>
        <v>3393.4950000000003</v>
      </c>
      <c r="R38" s="47">
        <f>O38*(1+Input!$B$36)</f>
        <v>3393.4950000000003</v>
      </c>
      <c r="S38" s="47">
        <f>P38*(1+Input!$B$36)</f>
        <v>3563.1697500000005</v>
      </c>
      <c r="T38" s="47">
        <f>Q38*(1+Input!$B$36)</f>
        <v>3563.1697500000005</v>
      </c>
      <c r="U38" s="47">
        <f>R38*(1+Input!$B$36)</f>
        <v>3563.1697500000005</v>
      </c>
      <c r="V38" s="47">
        <f>S38*(1+Input!$B$36)</f>
        <v>3741.3282375000008</v>
      </c>
      <c r="W38" s="47">
        <f>T38*(1+Input!$B$36)</f>
        <v>3741.3282375000008</v>
      </c>
      <c r="X38" s="47">
        <f>U38*(1+Input!$B$36)</f>
        <v>3741.3282375000008</v>
      </c>
      <c r="Y38" s="47">
        <f>V38*(1+Input!$B$36)</f>
        <v>3928.3946493750009</v>
      </c>
      <c r="Z38" s="47">
        <f>W38*(1+Input!$B$36)</f>
        <v>3928.3946493750009</v>
      </c>
      <c r="AA38" s="47">
        <f>X38*(1+Input!$B$36)</f>
        <v>3928.3946493750009</v>
      </c>
      <c r="AB38" s="47">
        <f>Y38*(1+Input!$B$36)</f>
        <v>4124.8143818437511</v>
      </c>
      <c r="AC38" s="47">
        <f>Z38*(1+Input!$B$36)</f>
        <v>4124.8143818437511</v>
      </c>
      <c r="AD38" s="47">
        <f>AA38*(1+Input!$B$36)</f>
        <v>4124.8143818437511</v>
      </c>
      <c r="AE38" s="47">
        <f>AB38*(1+Input!$B$36)</f>
        <v>4331.0551009359388</v>
      </c>
      <c r="AF38" s="47">
        <f>AC38*(1+Input!$B$36)</f>
        <v>4331.0551009359388</v>
      </c>
      <c r="AG38" s="47">
        <f>AD38*(1+Input!$B$36)</f>
        <v>4331.0551009359388</v>
      </c>
      <c r="AH38" s="47">
        <f>AE38*(1+Input!$B$36)</f>
        <v>4547.6078559827356</v>
      </c>
      <c r="AI38" s="47">
        <f>AF38*(1+Input!$B$36)</f>
        <v>4547.6078559827356</v>
      </c>
      <c r="AJ38" s="47">
        <f>AG38*(1+Input!$B$36)</f>
        <v>4547.6078559827356</v>
      </c>
      <c r="AK38" s="47" t="s">
        <v>98</v>
      </c>
    </row>
    <row r="39" spans="5:37" x14ac:dyDescent="0.25">
      <c r="E39" s="64" t="str">
        <f>Input!A134</f>
        <v>Year 5</v>
      </c>
      <c r="F39" s="57">
        <f>Input!B134</f>
        <v>570</v>
      </c>
      <c r="J39" s="47">
        <f>$F39*Input!$B$33*Input!$B$28*Input!$B$11</f>
        <v>3078</v>
      </c>
      <c r="K39" s="47">
        <f>$F39*Input!$B$33*Input!$B$28*Input!$B$11</f>
        <v>3078</v>
      </c>
      <c r="L39" s="47">
        <f>$F39*Input!$B$33*Input!$B$28*Input!$B$11</f>
        <v>3078</v>
      </c>
      <c r="M39" s="47">
        <f>J39*(1+Input!$B$36)</f>
        <v>3231.9</v>
      </c>
      <c r="N39" s="47">
        <f>K39*(1+Input!$B$36)</f>
        <v>3231.9</v>
      </c>
      <c r="O39" s="47">
        <f>L39*(1+Input!$B$36)</f>
        <v>3231.9</v>
      </c>
      <c r="P39" s="47">
        <f>M39*(1+Input!$B$36)</f>
        <v>3393.4950000000003</v>
      </c>
      <c r="Q39" s="47">
        <f>N39*(1+Input!$B$36)</f>
        <v>3393.4950000000003</v>
      </c>
      <c r="R39" s="47">
        <f>O39*(1+Input!$B$36)</f>
        <v>3393.4950000000003</v>
      </c>
      <c r="S39" s="47">
        <f>P39*(1+Input!$B$36)</f>
        <v>3563.1697500000005</v>
      </c>
      <c r="T39" s="47">
        <f>Q39*(1+Input!$B$36)</f>
        <v>3563.1697500000005</v>
      </c>
      <c r="U39" s="47">
        <f>R39*(1+Input!$B$36)</f>
        <v>3563.1697500000005</v>
      </c>
      <c r="V39" s="47">
        <f>S39*(1+Input!$B$36)</f>
        <v>3741.3282375000008</v>
      </c>
      <c r="W39" s="47">
        <f>T39*(1+Input!$B$36)</f>
        <v>3741.3282375000008</v>
      </c>
      <c r="X39" s="47">
        <f>U39*(1+Input!$B$36)</f>
        <v>3741.3282375000008</v>
      </c>
      <c r="Y39" s="47">
        <f>V39*(1+Input!$B$36)</f>
        <v>3928.3946493750009</v>
      </c>
      <c r="Z39" s="47">
        <f>W39*(1+Input!$B$36)</f>
        <v>3928.3946493750009</v>
      </c>
      <c r="AA39" s="47">
        <f>X39*(1+Input!$B$36)</f>
        <v>3928.3946493750009</v>
      </c>
      <c r="AB39" s="47">
        <f>Y39*(1+Input!$B$36)</f>
        <v>4124.8143818437511</v>
      </c>
      <c r="AC39" s="47">
        <f>Z39*(1+Input!$B$36)</f>
        <v>4124.8143818437511</v>
      </c>
      <c r="AD39" s="47">
        <f>AA39*(1+Input!$B$36)</f>
        <v>4124.8143818437511</v>
      </c>
      <c r="AE39" s="47">
        <f>AB39*(1+Input!$B$36)</f>
        <v>4331.0551009359388</v>
      </c>
      <c r="AF39" s="47">
        <f>AC39*(1+Input!$B$36)</f>
        <v>4331.0551009359388</v>
      </c>
      <c r="AG39" s="47">
        <f>AD39*(1+Input!$B$36)</f>
        <v>4331.0551009359388</v>
      </c>
      <c r="AH39" s="47">
        <f>AE39*(1+Input!$B$36)</f>
        <v>4547.6078559827356</v>
      </c>
      <c r="AI39" s="47">
        <f>AF39*(1+Input!$B$36)</f>
        <v>4547.6078559827356</v>
      </c>
      <c r="AJ39" s="47">
        <f>AG39*(1+Input!$B$36)</f>
        <v>4547.6078559827356</v>
      </c>
      <c r="AK39" s="47" t="s">
        <v>98</v>
      </c>
    </row>
    <row r="40" spans="5:37" x14ac:dyDescent="0.25">
      <c r="E40" s="64" t="str">
        <f>Input!A135</f>
        <v>Year 6</v>
      </c>
      <c r="F40" s="57">
        <f>Input!B135</f>
        <v>570</v>
      </c>
      <c r="J40" s="47">
        <f>$F40*Input!$B$33*Input!$B$28*Input!$B$11</f>
        <v>3078</v>
      </c>
      <c r="K40" s="47">
        <f>$F40*Input!$B$33*Input!$B$28*Input!$B$11</f>
        <v>3078</v>
      </c>
      <c r="L40" s="47">
        <f>$F40*Input!$B$33*Input!$B$28*Input!$B$11</f>
        <v>3078</v>
      </c>
      <c r="M40" s="47">
        <f>J40*(1+Input!$B$36)</f>
        <v>3231.9</v>
      </c>
      <c r="N40" s="47">
        <f>K40*(1+Input!$B$36)</f>
        <v>3231.9</v>
      </c>
      <c r="O40" s="47">
        <f>L40*(1+Input!$B$36)</f>
        <v>3231.9</v>
      </c>
      <c r="P40" s="47">
        <f>M40*(1+Input!$B$36)</f>
        <v>3393.4950000000003</v>
      </c>
      <c r="Q40" s="47">
        <f>N40*(1+Input!$B$36)</f>
        <v>3393.4950000000003</v>
      </c>
      <c r="R40" s="47">
        <f>O40*(1+Input!$B$36)</f>
        <v>3393.4950000000003</v>
      </c>
      <c r="S40" s="47">
        <f>P40*(1+Input!$B$36)</f>
        <v>3563.1697500000005</v>
      </c>
      <c r="T40" s="47">
        <f>Q40*(1+Input!$B$36)</f>
        <v>3563.1697500000005</v>
      </c>
      <c r="U40" s="47">
        <f>R40*(1+Input!$B$36)</f>
        <v>3563.1697500000005</v>
      </c>
      <c r="V40" s="47">
        <f>S40*(1+Input!$B$36)</f>
        <v>3741.3282375000008</v>
      </c>
      <c r="W40" s="47">
        <f>T40*(1+Input!$B$36)</f>
        <v>3741.3282375000008</v>
      </c>
      <c r="X40" s="47">
        <f>U40*(1+Input!$B$36)</f>
        <v>3741.3282375000008</v>
      </c>
      <c r="Y40" s="47">
        <f>V40*(1+Input!$B$36)</f>
        <v>3928.3946493750009</v>
      </c>
      <c r="Z40" s="47">
        <f>W40*(1+Input!$B$36)</f>
        <v>3928.3946493750009</v>
      </c>
      <c r="AA40" s="47">
        <f>X40*(1+Input!$B$36)</f>
        <v>3928.3946493750009</v>
      </c>
      <c r="AB40" s="47">
        <f>Y40*(1+Input!$B$36)</f>
        <v>4124.8143818437511</v>
      </c>
      <c r="AC40" s="47">
        <f>Z40*(1+Input!$B$36)</f>
        <v>4124.8143818437511</v>
      </c>
      <c r="AD40" s="47">
        <f>AA40*(1+Input!$B$36)</f>
        <v>4124.8143818437511</v>
      </c>
      <c r="AE40" s="47">
        <f>AB40*(1+Input!$B$36)</f>
        <v>4331.0551009359388</v>
      </c>
      <c r="AF40" s="47">
        <f>AC40*(1+Input!$B$36)</f>
        <v>4331.0551009359388</v>
      </c>
      <c r="AG40" s="47">
        <f>AD40*(1+Input!$B$36)</f>
        <v>4331.0551009359388</v>
      </c>
      <c r="AH40" s="47">
        <f>AE40*(1+Input!$B$36)</f>
        <v>4547.6078559827356</v>
      </c>
      <c r="AI40" s="47">
        <f>AF40*(1+Input!$B$36)</f>
        <v>4547.6078559827356</v>
      </c>
      <c r="AJ40" s="47">
        <f>AG40*(1+Input!$B$36)</f>
        <v>4547.6078559827356</v>
      </c>
      <c r="AK40" s="47" t="s">
        <v>98</v>
      </c>
    </row>
    <row r="41" spans="5:37" x14ac:dyDescent="0.25">
      <c r="E41" s="64" t="str">
        <f>Input!A136</f>
        <v>Year 7</v>
      </c>
      <c r="F41" s="57">
        <f>Input!B136</f>
        <v>756</v>
      </c>
      <c r="J41" s="47">
        <f>$F41*Input!$B$33*Input!$B$28*Input!$B$11</f>
        <v>4082.3999999999996</v>
      </c>
      <c r="K41" s="47">
        <f>$F41*Input!$B$33*Input!$B$28*Input!$B$11</f>
        <v>4082.3999999999996</v>
      </c>
      <c r="L41" s="47">
        <f>$F41*Input!$B$33*Input!$B$28*Input!$B$11</f>
        <v>4082.3999999999996</v>
      </c>
      <c r="M41" s="47">
        <f>J41*(1+Input!$B$36)</f>
        <v>4286.5199999999995</v>
      </c>
      <c r="N41" s="47">
        <f>K41*(1+Input!$B$36)</f>
        <v>4286.5199999999995</v>
      </c>
      <c r="O41" s="47">
        <f>L41*(1+Input!$B$36)</f>
        <v>4286.5199999999995</v>
      </c>
      <c r="P41" s="47">
        <f>M41*(1+Input!$B$36)</f>
        <v>4500.8459999999995</v>
      </c>
      <c r="Q41" s="47">
        <f>N41*(1+Input!$B$36)</f>
        <v>4500.8459999999995</v>
      </c>
      <c r="R41" s="47">
        <f>O41*(1+Input!$B$36)</f>
        <v>4500.8459999999995</v>
      </c>
      <c r="S41" s="47">
        <f>P41*(1+Input!$B$36)</f>
        <v>4725.8882999999996</v>
      </c>
      <c r="T41" s="47">
        <f>Q41*(1+Input!$B$36)</f>
        <v>4725.8882999999996</v>
      </c>
      <c r="U41" s="47">
        <f>R41*(1+Input!$B$36)</f>
        <v>4725.8882999999996</v>
      </c>
      <c r="V41" s="47">
        <f>S41*(1+Input!$B$36)</f>
        <v>4962.1827149999999</v>
      </c>
      <c r="W41" s="47">
        <f>T41*(1+Input!$B$36)</f>
        <v>4962.1827149999999</v>
      </c>
      <c r="X41" s="47">
        <f>U41*(1+Input!$B$36)</f>
        <v>4962.1827149999999</v>
      </c>
      <c r="Y41" s="47">
        <f>V41*(1+Input!$B$36)</f>
        <v>5210.2918507499999</v>
      </c>
      <c r="Z41" s="47">
        <f>W41*(1+Input!$B$36)</f>
        <v>5210.2918507499999</v>
      </c>
      <c r="AA41" s="47">
        <f>X41*(1+Input!$B$36)</f>
        <v>5210.2918507499999</v>
      </c>
      <c r="AB41" s="47">
        <f>Y41*(1+Input!$B$36)</f>
        <v>5470.8064432874999</v>
      </c>
      <c r="AC41" s="47">
        <f>Z41*(1+Input!$B$36)</f>
        <v>5470.8064432874999</v>
      </c>
      <c r="AD41" s="47">
        <f>AA41*(1+Input!$B$36)</f>
        <v>5470.8064432874999</v>
      </c>
      <c r="AE41" s="47">
        <f>AB41*(1+Input!$B$36)</f>
        <v>5744.3467654518754</v>
      </c>
      <c r="AF41" s="47">
        <f>AC41*(1+Input!$B$36)</f>
        <v>5744.3467654518754</v>
      </c>
      <c r="AG41" s="47">
        <f>AD41*(1+Input!$B$36)</f>
        <v>5744.3467654518754</v>
      </c>
      <c r="AH41" s="47">
        <f>AE41*(1+Input!$B$36)</f>
        <v>6031.5641037244695</v>
      </c>
      <c r="AI41" s="47">
        <f>AF41*(1+Input!$B$36)</f>
        <v>6031.5641037244695</v>
      </c>
      <c r="AJ41" s="47">
        <f>AG41*(1+Input!$B$36)</f>
        <v>6031.5641037244695</v>
      </c>
      <c r="AK41" s="47" t="s">
        <v>98</v>
      </c>
    </row>
    <row r="42" spans="5:37" x14ac:dyDescent="0.25">
      <c r="E42" s="64" t="str">
        <f>Input!A137</f>
        <v>Year 8</v>
      </c>
      <c r="F42" s="57">
        <f>Input!B137</f>
        <v>756</v>
      </c>
      <c r="J42" s="47">
        <f>$F42*Input!$B$33*Input!$B$28*Input!$B$11</f>
        <v>4082.3999999999996</v>
      </c>
      <c r="K42" s="47">
        <f>$F42*Input!$B$33*Input!$B$28*Input!$B$11</f>
        <v>4082.3999999999996</v>
      </c>
      <c r="L42" s="47">
        <f>$F42*Input!$B$33*Input!$B$28*Input!$B$11</f>
        <v>4082.3999999999996</v>
      </c>
      <c r="M42" s="47">
        <f>J42*(1+Input!$B$36)</f>
        <v>4286.5199999999995</v>
      </c>
      <c r="N42" s="47">
        <f>K42*(1+Input!$B$36)</f>
        <v>4286.5199999999995</v>
      </c>
      <c r="O42" s="47">
        <f>L42*(1+Input!$B$36)</f>
        <v>4286.5199999999995</v>
      </c>
      <c r="P42" s="47">
        <f>M42*(1+Input!$B$36)</f>
        <v>4500.8459999999995</v>
      </c>
      <c r="Q42" s="47">
        <f>N42*(1+Input!$B$36)</f>
        <v>4500.8459999999995</v>
      </c>
      <c r="R42" s="47">
        <f>O42*(1+Input!$B$36)</f>
        <v>4500.8459999999995</v>
      </c>
      <c r="S42" s="47">
        <f>P42*(1+Input!$B$36)</f>
        <v>4725.8882999999996</v>
      </c>
      <c r="T42" s="47">
        <f>Q42*(1+Input!$B$36)</f>
        <v>4725.8882999999996</v>
      </c>
      <c r="U42" s="47">
        <f>R42*(1+Input!$B$36)</f>
        <v>4725.8882999999996</v>
      </c>
      <c r="V42" s="47">
        <f>S42*(1+Input!$B$36)</f>
        <v>4962.1827149999999</v>
      </c>
      <c r="W42" s="47">
        <f>T42*(1+Input!$B$36)</f>
        <v>4962.1827149999999</v>
      </c>
      <c r="X42" s="47">
        <f>U42*(1+Input!$B$36)</f>
        <v>4962.1827149999999</v>
      </c>
      <c r="Y42" s="47">
        <f>V42*(1+Input!$B$36)</f>
        <v>5210.2918507499999</v>
      </c>
      <c r="Z42" s="47">
        <f>W42*(1+Input!$B$36)</f>
        <v>5210.2918507499999</v>
      </c>
      <c r="AA42" s="47">
        <f>X42*(1+Input!$B$36)</f>
        <v>5210.2918507499999</v>
      </c>
      <c r="AB42" s="47">
        <f>Y42*(1+Input!$B$36)</f>
        <v>5470.8064432874999</v>
      </c>
      <c r="AC42" s="47">
        <f>Z42*(1+Input!$B$36)</f>
        <v>5470.8064432874999</v>
      </c>
      <c r="AD42" s="47">
        <f>AA42*(1+Input!$B$36)</f>
        <v>5470.8064432874999</v>
      </c>
      <c r="AE42" s="47">
        <f>AB42*(1+Input!$B$36)</f>
        <v>5744.3467654518754</v>
      </c>
      <c r="AF42" s="47">
        <f>AC42*(1+Input!$B$36)</f>
        <v>5744.3467654518754</v>
      </c>
      <c r="AG42" s="47">
        <f>AD42*(1+Input!$B$36)</f>
        <v>5744.3467654518754</v>
      </c>
      <c r="AH42" s="47">
        <f>AE42*(1+Input!$B$36)</f>
        <v>6031.5641037244695</v>
      </c>
      <c r="AI42" s="47">
        <f>AF42*(1+Input!$B$36)</f>
        <v>6031.5641037244695</v>
      </c>
      <c r="AJ42" s="47">
        <f>AG42*(1+Input!$B$36)</f>
        <v>6031.5641037244695</v>
      </c>
      <c r="AK42" s="47" t="s">
        <v>98</v>
      </c>
    </row>
    <row r="43" spans="5:37" x14ac:dyDescent="0.25">
      <c r="E43" s="64" t="str">
        <f>Input!A138</f>
        <v>Year 9</v>
      </c>
      <c r="F43" s="57">
        <f>Input!B138</f>
        <v>756</v>
      </c>
      <c r="J43" s="47">
        <f>$F43*Input!$B$33*Input!$B$28*Input!$B$11</f>
        <v>4082.3999999999996</v>
      </c>
      <c r="K43" s="47">
        <f>$F43*Input!$B$33*Input!$B$28*Input!$B$11</f>
        <v>4082.3999999999996</v>
      </c>
      <c r="L43" s="47">
        <f>$F43*Input!$B$33*Input!$B$28*Input!$B$11</f>
        <v>4082.3999999999996</v>
      </c>
      <c r="M43" s="47">
        <f>J43*(1+Input!$B$36)</f>
        <v>4286.5199999999995</v>
      </c>
      <c r="N43" s="47">
        <f>K43*(1+Input!$B$36)</f>
        <v>4286.5199999999995</v>
      </c>
      <c r="O43" s="47">
        <f>L43*(1+Input!$B$36)</f>
        <v>4286.5199999999995</v>
      </c>
      <c r="P43" s="47">
        <f>M43*(1+Input!$B$36)</f>
        <v>4500.8459999999995</v>
      </c>
      <c r="Q43" s="47">
        <f>N43*(1+Input!$B$36)</f>
        <v>4500.8459999999995</v>
      </c>
      <c r="R43" s="47">
        <f>O43*(1+Input!$B$36)</f>
        <v>4500.8459999999995</v>
      </c>
      <c r="S43" s="47">
        <f>P43*(1+Input!$B$36)</f>
        <v>4725.8882999999996</v>
      </c>
      <c r="T43" s="47">
        <f>Q43*(1+Input!$B$36)</f>
        <v>4725.8882999999996</v>
      </c>
      <c r="U43" s="47">
        <f>R43*(1+Input!$B$36)</f>
        <v>4725.8882999999996</v>
      </c>
      <c r="V43" s="47">
        <f>S43*(1+Input!$B$36)</f>
        <v>4962.1827149999999</v>
      </c>
      <c r="W43" s="47">
        <f>T43*(1+Input!$B$36)</f>
        <v>4962.1827149999999</v>
      </c>
      <c r="X43" s="47">
        <f>U43*(1+Input!$B$36)</f>
        <v>4962.1827149999999</v>
      </c>
      <c r="Y43" s="47">
        <f>V43*(1+Input!$B$36)</f>
        <v>5210.2918507499999</v>
      </c>
      <c r="Z43" s="47">
        <f>W43*(1+Input!$B$36)</f>
        <v>5210.2918507499999</v>
      </c>
      <c r="AA43" s="47">
        <f>X43*(1+Input!$B$36)</f>
        <v>5210.2918507499999</v>
      </c>
      <c r="AB43" s="47">
        <f>Y43*(1+Input!$B$36)</f>
        <v>5470.8064432874999</v>
      </c>
      <c r="AC43" s="47">
        <f>Z43*(1+Input!$B$36)</f>
        <v>5470.8064432874999</v>
      </c>
      <c r="AD43" s="47">
        <f>AA43*(1+Input!$B$36)</f>
        <v>5470.8064432874999</v>
      </c>
      <c r="AE43" s="47">
        <f>AB43*(1+Input!$B$36)</f>
        <v>5744.3467654518754</v>
      </c>
      <c r="AF43" s="47">
        <f>AC43*(1+Input!$B$36)</f>
        <v>5744.3467654518754</v>
      </c>
      <c r="AG43" s="47">
        <f>AD43*(1+Input!$B$36)</f>
        <v>5744.3467654518754</v>
      </c>
      <c r="AH43" s="47">
        <f>AE43*(1+Input!$B$36)</f>
        <v>6031.5641037244695</v>
      </c>
      <c r="AI43" s="47">
        <f>AF43*(1+Input!$B$36)</f>
        <v>6031.5641037244695</v>
      </c>
      <c r="AJ43" s="47">
        <f>AG43*(1+Input!$B$36)</f>
        <v>6031.5641037244695</v>
      </c>
      <c r="AK43" s="47" t="s">
        <v>98</v>
      </c>
    </row>
    <row r="44" spans="5:37" x14ac:dyDescent="0.25">
      <c r="E44" s="64" t="str">
        <f>Input!A139</f>
        <v>Year 10</v>
      </c>
      <c r="F44" s="57">
        <f>Input!B139</f>
        <v>756</v>
      </c>
      <c r="J44" s="47">
        <f>$F44*Input!$B$33*Input!$B$28*Input!$B$11</f>
        <v>4082.3999999999996</v>
      </c>
      <c r="K44" s="47">
        <f>$F44*Input!$B$33*Input!$B$28*Input!$B$11</f>
        <v>4082.3999999999996</v>
      </c>
      <c r="L44" s="47">
        <f>$F44*Input!$B$33*Input!$B$28*Input!$B$11</f>
        <v>4082.3999999999996</v>
      </c>
      <c r="M44" s="47">
        <f>J44*(1+Input!$B$36)</f>
        <v>4286.5199999999995</v>
      </c>
      <c r="N44" s="47">
        <f>K44*(1+Input!$B$36)</f>
        <v>4286.5199999999995</v>
      </c>
      <c r="O44" s="47">
        <f>L44*(1+Input!$B$36)</f>
        <v>4286.5199999999995</v>
      </c>
      <c r="P44" s="47">
        <f>M44*(1+Input!$B$36)</f>
        <v>4500.8459999999995</v>
      </c>
      <c r="Q44" s="47">
        <f>N44*(1+Input!$B$36)</f>
        <v>4500.8459999999995</v>
      </c>
      <c r="R44" s="47">
        <f>O44*(1+Input!$B$36)</f>
        <v>4500.8459999999995</v>
      </c>
      <c r="S44" s="47">
        <f>P44*(1+Input!$B$36)</f>
        <v>4725.8882999999996</v>
      </c>
      <c r="T44" s="47">
        <f>Q44*(1+Input!$B$36)</f>
        <v>4725.8882999999996</v>
      </c>
      <c r="U44" s="47">
        <f>R44*(1+Input!$B$36)</f>
        <v>4725.8882999999996</v>
      </c>
      <c r="V44" s="47">
        <f>S44*(1+Input!$B$36)</f>
        <v>4962.1827149999999</v>
      </c>
      <c r="W44" s="47">
        <f>T44*(1+Input!$B$36)</f>
        <v>4962.1827149999999</v>
      </c>
      <c r="X44" s="47">
        <f>U44*(1+Input!$B$36)</f>
        <v>4962.1827149999999</v>
      </c>
      <c r="Y44" s="47">
        <f>V44*(1+Input!$B$36)</f>
        <v>5210.2918507499999</v>
      </c>
      <c r="Z44" s="47">
        <f>W44*(1+Input!$B$36)</f>
        <v>5210.2918507499999</v>
      </c>
      <c r="AA44" s="47">
        <f>X44*(1+Input!$B$36)</f>
        <v>5210.2918507499999</v>
      </c>
      <c r="AB44" s="47">
        <f>Y44*(1+Input!$B$36)</f>
        <v>5470.8064432874999</v>
      </c>
      <c r="AC44" s="47">
        <f>Z44*(1+Input!$B$36)</f>
        <v>5470.8064432874999</v>
      </c>
      <c r="AD44" s="47">
        <f>AA44*(1+Input!$B$36)</f>
        <v>5470.8064432874999</v>
      </c>
      <c r="AE44" s="47">
        <f>AB44*(1+Input!$B$36)</f>
        <v>5744.3467654518754</v>
      </c>
      <c r="AF44" s="47">
        <f>AC44*(1+Input!$B$36)</f>
        <v>5744.3467654518754</v>
      </c>
      <c r="AG44" s="47">
        <f>AD44*(1+Input!$B$36)</f>
        <v>5744.3467654518754</v>
      </c>
      <c r="AH44" s="47">
        <f>AE44*(1+Input!$B$36)</f>
        <v>6031.5641037244695</v>
      </c>
      <c r="AI44" s="47">
        <f>AF44*(1+Input!$B$36)</f>
        <v>6031.5641037244695</v>
      </c>
      <c r="AJ44" s="47">
        <f>AG44*(1+Input!$B$36)</f>
        <v>6031.5641037244695</v>
      </c>
      <c r="AK44" s="47" t="s">
        <v>98</v>
      </c>
    </row>
    <row r="45" spans="5:37" x14ac:dyDescent="0.25">
      <c r="E45" s="64" t="str">
        <f>Input!A140</f>
        <v>Year 11</v>
      </c>
      <c r="F45" s="57">
        <f>Input!B140</f>
        <v>756</v>
      </c>
      <c r="J45" s="47">
        <f>$F45*Input!$B$33*Input!$B$28*Input!$B$11</f>
        <v>4082.3999999999996</v>
      </c>
      <c r="K45" s="47">
        <f>$F45*Input!$B$33*Input!$B$28*Input!$B$11</f>
        <v>4082.3999999999996</v>
      </c>
      <c r="L45" s="47">
        <f>$F45*Input!$B$33*Input!$B$28*Input!$B$11</f>
        <v>4082.3999999999996</v>
      </c>
      <c r="M45" s="47">
        <f>J45*(1+Input!$B$36)</f>
        <v>4286.5199999999995</v>
      </c>
      <c r="N45" s="47">
        <f>K45*(1+Input!$B$36)</f>
        <v>4286.5199999999995</v>
      </c>
      <c r="O45" s="47">
        <f>L45*(1+Input!$B$36)</f>
        <v>4286.5199999999995</v>
      </c>
      <c r="P45" s="47">
        <f>M45*(1+Input!$B$36)</f>
        <v>4500.8459999999995</v>
      </c>
      <c r="Q45" s="47">
        <f>N45*(1+Input!$B$36)</f>
        <v>4500.8459999999995</v>
      </c>
      <c r="R45" s="47">
        <f>O45*(1+Input!$B$36)</f>
        <v>4500.8459999999995</v>
      </c>
      <c r="S45" s="47">
        <f>P45*(1+Input!$B$36)</f>
        <v>4725.8882999999996</v>
      </c>
      <c r="T45" s="47">
        <f>Q45*(1+Input!$B$36)</f>
        <v>4725.8882999999996</v>
      </c>
      <c r="U45" s="47">
        <f>R45*(1+Input!$B$36)</f>
        <v>4725.8882999999996</v>
      </c>
      <c r="V45" s="47">
        <f>S45*(1+Input!$B$36)</f>
        <v>4962.1827149999999</v>
      </c>
      <c r="W45" s="47">
        <f>T45*(1+Input!$B$36)</f>
        <v>4962.1827149999999</v>
      </c>
      <c r="X45" s="47">
        <f>U45*(1+Input!$B$36)</f>
        <v>4962.1827149999999</v>
      </c>
      <c r="Y45" s="47">
        <f>V45*(1+Input!$B$36)</f>
        <v>5210.2918507499999</v>
      </c>
      <c r="Z45" s="47">
        <f>W45*(1+Input!$B$36)</f>
        <v>5210.2918507499999</v>
      </c>
      <c r="AA45" s="47">
        <f>X45*(1+Input!$B$36)</f>
        <v>5210.2918507499999</v>
      </c>
      <c r="AB45" s="47">
        <f>Y45*(1+Input!$B$36)</f>
        <v>5470.8064432874999</v>
      </c>
      <c r="AC45" s="47">
        <f>Z45*(1+Input!$B$36)</f>
        <v>5470.8064432874999</v>
      </c>
      <c r="AD45" s="47">
        <f>AA45*(1+Input!$B$36)</f>
        <v>5470.8064432874999</v>
      </c>
      <c r="AE45" s="47">
        <f>AB45*(1+Input!$B$36)</f>
        <v>5744.3467654518754</v>
      </c>
      <c r="AF45" s="47">
        <f>AC45*(1+Input!$B$36)</f>
        <v>5744.3467654518754</v>
      </c>
      <c r="AG45" s="47">
        <f>AD45*(1+Input!$B$36)</f>
        <v>5744.3467654518754</v>
      </c>
      <c r="AH45" s="47">
        <f>AE45*(1+Input!$B$36)</f>
        <v>6031.5641037244695</v>
      </c>
      <c r="AI45" s="47">
        <f>AF45*(1+Input!$B$36)</f>
        <v>6031.5641037244695</v>
      </c>
      <c r="AJ45" s="47">
        <f>AG45*(1+Input!$B$36)</f>
        <v>6031.5641037244695</v>
      </c>
      <c r="AK45" s="47" t="s">
        <v>98</v>
      </c>
    </row>
    <row r="46" spans="5:37" x14ac:dyDescent="0.25">
      <c r="E46" s="64" t="str">
        <f>Input!A141</f>
        <v>Year 12</v>
      </c>
      <c r="F46" s="57">
        <f>Input!B141</f>
        <v>756</v>
      </c>
      <c r="J46" s="47">
        <f>$F46*Input!$B$33*Input!$B$28*Input!$B$11</f>
        <v>4082.3999999999996</v>
      </c>
      <c r="K46" s="47">
        <f>$F46*Input!$B$33*Input!$B$28*Input!$B$11</f>
        <v>4082.3999999999996</v>
      </c>
      <c r="L46" s="47">
        <f>$F46*Input!$B$33*Input!$B$28*Input!$B$11</f>
        <v>4082.3999999999996</v>
      </c>
      <c r="M46" s="47">
        <f>J46*(1+Input!$B$36)</f>
        <v>4286.5199999999995</v>
      </c>
      <c r="N46" s="47">
        <f>K46*(1+Input!$B$36)</f>
        <v>4286.5199999999995</v>
      </c>
      <c r="O46" s="47">
        <f>L46*(1+Input!$B$36)</f>
        <v>4286.5199999999995</v>
      </c>
      <c r="P46" s="47">
        <f>M46*(1+Input!$B$36)</f>
        <v>4500.8459999999995</v>
      </c>
      <c r="Q46" s="47">
        <f>N46*(1+Input!$B$36)</f>
        <v>4500.8459999999995</v>
      </c>
      <c r="R46" s="47">
        <f>O46*(1+Input!$B$36)</f>
        <v>4500.8459999999995</v>
      </c>
      <c r="S46" s="47">
        <f>P46*(1+Input!$B$36)</f>
        <v>4725.8882999999996</v>
      </c>
      <c r="T46" s="47">
        <f>Q46*(1+Input!$B$36)</f>
        <v>4725.8882999999996</v>
      </c>
      <c r="U46" s="47">
        <f>R46*(1+Input!$B$36)</f>
        <v>4725.8882999999996</v>
      </c>
      <c r="V46" s="47">
        <f>S46*(1+Input!$B$36)</f>
        <v>4962.1827149999999</v>
      </c>
      <c r="W46" s="47">
        <f>T46*(1+Input!$B$36)</f>
        <v>4962.1827149999999</v>
      </c>
      <c r="X46" s="47">
        <f>U46*(1+Input!$B$36)</f>
        <v>4962.1827149999999</v>
      </c>
      <c r="Y46" s="47">
        <f>V46*(1+Input!$B$36)</f>
        <v>5210.2918507499999</v>
      </c>
      <c r="Z46" s="47">
        <f>W46*(1+Input!$B$36)</f>
        <v>5210.2918507499999</v>
      </c>
      <c r="AA46" s="47">
        <f>X46*(1+Input!$B$36)</f>
        <v>5210.2918507499999</v>
      </c>
      <c r="AB46" s="47">
        <f>Y46*(1+Input!$B$36)</f>
        <v>5470.8064432874999</v>
      </c>
      <c r="AC46" s="47">
        <f>Z46*(1+Input!$B$36)</f>
        <v>5470.8064432874999</v>
      </c>
      <c r="AD46" s="47">
        <f>AA46*(1+Input!$B$36)</f>
        <v>5470.8064432874999</v>
      </c>
      <c r="AE46" s="47">
        <f>AB46*(1+Input!$B$36)</f>
        <v>5744.3467654518754</v>
      </c>
      <c r="AF46" s="47">
        <f>AC46*(1+Input!$B$36)</f>
        <v>5744.3467654518754</v>
      </c>
      <c r="AG46" s="47">
        <f>AD46*(1+Input!$B$36)</f>
        <v>5744.3467654518754</v>
      </c>
      <c r="AH46" s="47">
        <f>AE46*(1+Input!$B$36)</f>
        <v>6031.5641037244695</v>
      </c>
      <c r="AI46" s="47">
        <f>AF46*(1+Input!$B$36)</f>
        <v>6031.5641037244695</v>
      </c>
      <c r="AJ46" s="47">
        <f>AG46*(1+Input!$B$36)</f>
        <v>6031.5641037244695</v>
      </c>
      <c r="AK46" s="47" t="s">
        <v>98</v>
      </c>
    </row>
    <row r="47" spans="5:37" x14ac:dyDescent="0.25">
      <c r="E47" s="64" t="str">
        <f>Input!A142</f>
        <v>Year 13</v>
      </c>
      <c r="F47" s="57">
        <f>Input!B142</f>
        <v>756</v>
      </c>
      <c r="J47" s="47">
        <f>$F47*Input!$B$33*Input!$B$28*Input!$B$11</f>
        <v>4082.3999999999996</v>
      </c>
      <c r="K47" s="47">
        <f>$F47*Input!$B$33*Input!$B$28*Input!$B$11</f>
        <v>4082.3999999999996</v>
      </c>
      <c r="L47" s="47">
        <f>$F47*Input!$B$33*Input!$B$28*Input!$B$11</f>
        <v>4082.3999999999996</v>
      </c>
      <c r="M47" s="47">
        <f>J47*(1+Input!$B$36)</f>
        <v>4286.5199999999995</v>
      </c>
      <c r="N47" s="47">
        <f>K47*(1+Input!$B$36)</f>
        <v>4286.5199999999995</v>
      </c>
      <c r="O47" s="47">
        <f>L47*(1+Input!$B$36)</f>
        <v>4286.5199999999995</v>
      </c>
      <c r="P47" s="47">
        <f>M47*(1+Input!$B$36)</f>
        <v>4500.8459999999995</v>
      </c>
      <c r="Q47" s="47">
        <f>N47*(1+Input!$B$36)</f>
        <v>4500.8459999999995</v>
      </c>
      <c r="R47" s="47">
        <f>O47*(1+Input!$B$36)</f>
        <v>4500.8459999999995</v>
      </c>
      <c r="S47" s="47">
        <f>P47*(1+Input!$B$36)</f>
        <v>4725.8882999999996</v>
      </c>
      <c r="T47" s="47">
        <f>Q47*(1+Input!$B$36)</f>
        <v>4725.8882999999996</v>
      </c>
      <c r="U47" s="47">
        <f>R47*(1+Input!$B$36)</f>
        <v>4725.8882999999996</v>
      </c>
      <c r="V47" s="47">
        <f>S47*(1+Input!$B$36)</f>
        <v>4962.1827149999999</v>
      </c>
      <c r="W47" s="47">
        <f>T47*(1+Input!$B$36)</f>
        <v>4962.1827149999999</v>
      </c>
      <c r="X47" s="47">
        <f>U47*(1+Input!$B$36)</f>
        <v>4962.1827149999999</v>
      </c>
      <c r="Y47" s="47">
        <f>V47*(1+Input!$B$36)</f>
        <v>5210.2918507499999</v>
      </c>
      <c r="Z47" s="47">
        <f>W47*(1+Input!$B$36)</f>
        <v>5210.2918507499999</v>
      </c>
      <c r="AA47" s="47">
        <f>X47*(1+Input!$B$36)</f>
        <v>5210.2918507499999</v>
      </c>
      <c r="AB47" s="47">
        <f>Y47*(1+Input!$B$36)</f>
        <v>5470.8064432874999</v>
      </c>
      <c r="AC47" s="47">
        <f>Z47*(1+Input!$B$36)</f>
        <v>5470.8064432874999</v>
      </c>
      <c r="AD47" s="47">
        <f>AA47*(1+Input!$B$36)</f>
        <v>5470.8064432874999</v>
      </c>
      <c r="AE47" s="47">
        <f>AB47*(1+Input!$B$36)</f>
        <v>5744.3467654518754</v>
      </c>
      <c r="AF47" s="47">
        <f>AC47*(1+Input!$B$36)</f>
        <v>5744.3467654518754</v>
      </c>
      <c r="AG47" s="47">
        <f>AD47*(1+Input!$B$36)</f>
        <v>5744.3467654518754</v>
      </c>
      <c r="AH47" s="47">
        <f>AE47*(1+Input!$B$36)</f>
        <v>6031.5641037244695</v>
      </c>
      <c r="AI47" s="47">
        <f>AF47*(1+Input!$B$36)</f>
        <v>6031.5641037244695</v>
      </c>
      <c r="AJ47" s="47">
        <f>AG47*(1+Input!$B$36)</f>
        <v>6031.5641037244695</v>
      </c>
      <c r="AK47" s="47" t="s">
        <v>98</v>
      </c>
    </row>
    <row r="48" spans="5:37" x14ac:dyDescent="0.25">
      <c r="E48" s="64" t="str">
        <f>Input!A143</f>
        <v>Year 14</v>
      </c>
      <c r="F48" s="57">
        <f>Input!B143</f>
        <v>756</v>
      </c>
      <c r="J48" s="47">
        <f>$F48*Input!$B$33*Input!$B$28*Input!$B$11</f>
        <v>4082.3999999999996</v>
      </c>
      <c r="K48" s="47">
        <f>$F48*Input!$B$33*Input!$B$28*Input!$B$11</f>
        <v>4082.3999999999996</v>
      </c>
      <c r="L48" s="47">
        <f>$F48*Input!$B$33*Input!$B$28*Input!$B$11</f>
        <v>4082.3999999999996</v>
      </c>
      <c r="M48" s="47">
        <f>J48*(1+Input!$B$36)</f>
        <v>4286.5199999999995</v>
      </c>
      <c r="N48" s="47">
        <f>K48*(1+Input!$B$36)</f>
        <v>4286.5199999999995</v>
      </c>
      <c r="O48" s="47">
        <f>L48*(1+Input!$B$36)</f>
        <v>4286.5199999999995</v>
      </c>
      <c r="P48" s="47">
        <f>M48*(1+Input!$B$36)</f>
        <v>4500.8459999999995</v>
      </c>
      <c r="Q48" s="47">
        <f>N48*(1+Input!$B$36)</f>
        <v>4500.8459999999995</v>
      </c>
      <c r="R48" s="47">
        <f>O48*(1+Input!$B$36)</f>
        <v>4500.8459999999995</v>
      </c>
      <c r="S48" s="47">
        <f>P48*(1+Input!$B$36)</f>
        <v>4725.8882999999996</v>
      </c>
      <c r="T48" s="47">
        <f>Q48*(1+Input!$B$36)</f>
        <v>4725.8882999999996</v>
      </c>
      <c r="U48" s="47">
        <f>R48*(1+Input!$B$36)</f>
        <v>4725.8882999999996</v>
      </c>
      <c r="V48" s="47">
        <f>S48*(1+Input!$B$36)</f>
        <v>4962.1827149999999</v>
      </c>
      <c r="W48" s="47">
        <f>T48*(1+Input!$B$36)</f>
        <v>4962.1827149999999</v>
      </c>
      <c r="X48" s="47">
        <f>U48*(1+Input!$B$36)</f>
        <v>4962.1827149999999</v>
      </c>
      <c r="Y48" s="47">
        <f>V48*(1+Input!$B$36)</f>
        <v>5210.2918507499999</v>
      </c>
      <c r="Z48" s="47">
        <f>W48*(1+Input!$B$36)</f>
        <v>5210.2918507499999</v>
      </c>
      <c r="AA48" s="47">
        <f>X48*(1+Input!$B$36)</f>
        <v>5210.2918507499999</v>
      </c>
      <c r="AB48" s="47">
        <f>Y48*(1+Input!$B$36)</f>
        <v>5470.8064432874999</v>
      </c>
      <c r="AC48" s="47">
        <f>Z48*(1+Input!$B$36)</f>
        <v>5470.8064432874999</v>
      </c>
      <c r="AD48" s="47">
        <f>AA48*(1+Input!$B$36)</f>
        <v>5470.8064432874999</v>
      </c>
      <c r="AE48" s="47">
        <f>AB48*(1+Input!$B$36)</f>
        <v>5744.3467654518754</v>
      </c>
      <c r="AF48" s="47">
        <f>AC48*(1+Input!$B$36)</f>
        <v>5744.3467654518754</v>
      </c>
      <c r="AG48" s="47">
        <f>AD48*(1+Input!$B$36)</f>
        <v>5744.3467654518754</v>
      </c>
      <c r="AH48" s="47">
        <f>AE48*(1+Input!$B$36)</f>
        <v>6031.5641037244695</v>
      </c>
      <c r="AI48" s="47">
        <f>AF48*(1+Input!$B$36)</f>
        <v>6031.5641037244695</v>
      </c>
      <c r="AJ48" s="47">
        <f>AG48*(1+Input!$B$36)</f>
        <v>6031.5641037244695</v>
      </c>
      <c r="AK48" s="47" t="s">
        <v>98</v>
      </c>
    </row>
    <row r="49" spans="3:37" x14ac:dyDescent="0.25">
      <c r="E49" s="64" t="s">
        <v>104</v>
      </c>
      <c r="F49" s="57"/>
      <c r="J49" s="47">
        <f>SUM(J30:J48)</f>
        <v>50641.200000000012</v>
      </c>
      <c r="K49" s="47">
        <f t="shared" ref="K49:AJ49" si="1">SUM(K30:K48)</f>
        <v>50641.200000000012</v>
      </c>
      <c r="L49" s="47">
        <f t="shared" si="1"/>
        <v>50641.200000000012</v>
      </c>
      <c r="M49" s="47">
        <f t="shared" si="1"/>
        <v>53173.259999999987</v>
      </c>
      <c r="N49" s="47">
        <f t="shared" si="1"/>
        <v>53173.259999999987</v>
      </c>
      <c r="O49" s="47">
        <f t="shared" si="1"/>
        <v>53173.259999999987</v>
      </c>
      <c r="P49" s="47">
        <f t="shared" si="1"/>
        <v>55831.922999999988</v>
      </c>
      <c r="Q49" s="47">
        <f t="shared" si="1"/>
        <v>55831.922999999988</v>
      </c>
      <c r="R49" s="47">
        <f t="shared" si="1"/>
        <v>55831.922999999988</v>
      </c>
      <c r="S49" s="47">
        <f t="shared" si="1"/>
        <v>58623.519149999993</v>
      </c>
      <c r="T49" s="47">
        <f t="shared" si="1"/>
        <v>58623.519149999993</v>
      </c>
      <c r="U49" s="47">
        <f t="shared" si="1"/>
        <v>58623.519149999993</v>
      </c>
      <c r="V49" s="47">
        <f t="shared" si="1"/>
        <v>61554.695107500018</v>
      </c>
      <c r="W49" s="47">
        <f t="shared" si="1"/>
        <v>61554.695107500018</v>
      </c>
      <c r="X49" s="47">
        <f t="shared" si="1"/>
        <v>61554.695107500018</v>
      </c>
      <c r="Y49" s="47">
        <f t="shared" si="1"/>
        <v>64632.429862875004</v>
      </c>
      <c r="Z49" s="47">
        <f t="shared" si="1"/>
        <v>64632.429862875004</v>
      </c>
      <c r="AA49" s="47">
        <f t="shared" si="1"/>
        <v>64632.429862875004</v>
      </c>
      <c r="AB49" s="47">
        <f t="shared" si="1"/>
        <v>67864.051356018739</v>
      </c>
      <c r="AC49" s="47">
        <f t="shared" si="1"/>
        <v>67864.051356018739</v>
      </c>
      <c r="AD49" s="47">
        <f t="shared" si="1"/>
        <v>67864.051356018739</v>
      </c>
      <c r="AE49" s="47">
        <f t="shared" si="1"/>
        <v>71257.253923819691</v>
      </c>
      <c r="AF49" s="47">
        <f t="shared" si="1"/>
        <v>71257.253923819691</v>
      </c>
      <c r="AG49" s="47">
        <f t="shared" si="1"/>
        <v>71257.253923819691</v>
      </c>
      <c r="AH49" s="47">
        <f t="shared" si="1"/>
        <v>74820.116620010696</v>
      </c>
      <c r="AI49" s="47">
        <f t="shared" si="1"/>
        <v>74820.116620010696</v>
      </c>
      <c r="AJ49" s="47">
        <f t="shared" si="1"/>
        <v>74820.116620010696</v>
      </c>
      <c r="AK49" s="47" t="s">
        <v>98</v>
      </c>
    </row>
    <row r="50" spans="3:37" x14ac:dyDescent="0.25">
      <c r="E50" s="64"/>
      <c r="F50" s="57"/>
    </row>
    <row r="51" spans="3:37" x14ac:dyDescent="0.25">
      <c r="C51" s="64" t="str">
        <f>Input!A145</f>
        <v>Registration</v>
      </c>
      <c r="E51" s="64"/>
      <c r="F51" s="57"/>
      <c r="AK51" s="47" t="s">
        <v>98</v>
      </c>
    </row>
    <row r="52" spans="3:37" x14ac:dyDescent="0.25">
      <c r="E52" s="64" t="str">
        <f>Input!A146</f>
        <v>Creche</v>
      </c>
      <c r="F52" s="57">
        <f>Input!B146</f>
        <v>15</v>
      </c>
      <c r="J52" s="47">
        <f>$F52*Input!$B$33*Input!$B$28*Input!$B$11</f>
        <v>81</v>
      </c>
      <c r="K52" s="47">
        <f>$F52*Input!$B$33*Input!$B$28*Input!$B$11</f>
        <v>81</v>
      </c>
      <c r="L52" s="47">
        <f>$F52*Input!$B$33*Input!$B$28*Input!$B$11</f>
        <v>81</v>
      </c>
      <c r="M52" s="47">
        <f>J52*(1+Input!$B$36)</f>
        <v>85.05</v>
      </c>
      <c r="N52" s="47">
        <f>K52*(1+Input!$B$36)</f>
        <v>85.05</v>
      </c>
      <c r="O52" s="47">
        <f>L52*(1+Input!$B$36)</f>
        <v>85.05</v>
      </c>
      <c r="P52" s="47">
        <f>M52*(1+Input!$B$36)</f>
        <v>89.302499999999995</v>
      </c>
      <c r="Q52" s="47">
        <f>N52*(1+Input!$B$36)</f>
        <v>89.302499999999995</v>
      </c>
      <c r="R52" s="47">
        <f>O52*(1+Input!$B$36)</f>
        <v>89.302499999999995</v>
      </c>
      <c r="S52" s="47">
        <f>P52*(1+Input!$B$36)</f>
        <v>93.767624999999995</v>
      </c>
      <c r="T52" s="47">
        <f>Q52*(1+Input!$B$36)</f>
        <v>93.767624999999995</v>
      </c>
      <c r="U52" s="47">
        <f>R52*(1+Input!$B$36)</f>
        <v>93.767624999999995</v>
      </c>
      <c r="V52" s="47">
        <f>S52*(1+Input!$B$36)</f>
        <v>98.456006250000002</v>
      </c>
      <c r="W52" s="47">
        <f>T52*(1+Input!$B$36)</f>
        <v>98.456006250000002</v>
      </c>
      <c r="X52" s="47">
        <f>U52*(1+Input!$B$36)</f>
        <v>98.456006250000002</v>
      </c>
      <c r="Y52" s="47">
        <f>V52*(1+Input!$B$36)</f>
        <v>103.3788065625</v>
      </c>
      <c r="Z52" s="47">
        <f>W52*(1+Input!$B$36)</f>
        <v>103.3788065625</v>
      </c>
      <c r="AA52" s="47">
        <f>X52*(1+Input!$B$36)</f>
        <v>103.3788065625</v>
      </c>
      <c r="AB52" s="47">
        <f>Y52*(1+Input!$B$36)</f>
        <v>108.54774689062501</v>
      </c>
      <c r="AC52" s="47">
        <f>Z52*(1+Input!$B$36)</f>
        <v>108.54774689062501</v>
      </c>
      <c r="AD52" s="47">
        <f>AA52*(1+Input!$B$36)</f>
        <v>108.54774689062501</v>
      </c>
      <c r="AE52" s="47">
        <f>AB52*(1+Input!$B$36)</f>
        <v>113.97513423515626</v>
      </c>
      <c r="AF52" s="47">
        <f>AC52*(1+Input!$B$36)</f>
        <v>113.97513423515626</v>
      </c>
      <c r="AG52" s="47">
        <f>AD52*(1+Input!$B$36)</f>
        <v>113.97513423515626</v>
      </c>
      <c r="AH52" s="47">
        <f>AE52*(1+Input!$B$36)</f>
        <v>119.67389094691409</v>
      </c>
      <c r="AI52" s="47">
        <f>AF52*(1+Input!$B$36)</f>
        <v>119.67389094691409</v>
      </c>
      <c r="AJ52" s="47">
        <f>AG52*(1+Input!$B$36)</f>
        <v>119.67389094691409</v>
      </c>
      <c r="AK52" s="47" t="s">
        <v>98</v>
      </c>
    </row>
    <row r="53" spans="3:37" x14ac:dyDescent="0.25">
      <c r="E53" s="64" t="str">
        <f>Input!A147</f>
        <v>Playgroup</v>
      </c>
      <c r="F53" s="57">
        <f>Input!B147</f>
        <v>15</v>
      </c>
      <c r="J53" s="47">
        <f>$F53*Input!$B$33*Input!$B$28*Input!$B$11</f>
        <v>81</v>
      </c>
      <c r="K53" s="47">
        <f>$F53*Input!$B$33*Input!$B$28*Input!$B$11</f>
        <v>81</v>
      </c>
      <c r="L53" s="47">
        <f>$F53*Input!$B$33*Input!$B$28*Input!$B$11</f>
        <v>81</v>
      </c>
      <c r="M53" s="47">
        <f>J53*(1+Input!$B$36)</f>
        <v>85.05</v>
      </c>
      <c r="N53" s="47">
        <f>K53*(1+Input!$B$36)</f>
        <v>85.05</v>
      </c>
      <c r="O53" s="47">
        <f>L53*(1+Input!$B$36)</f>
        <v>85.05</v>
      </c>
      <c r="P53" s="47">
        <f>M53*(1+Input!$B$36)</f>
        <v>89.302499999999995</v>
      </c>
      <c r="Q53" s="47">
        <f>N53*(1+Input!$B$36)</f>
        <v>89.302499999999995</v>
      </c>
      <c r="R53" s="47">
        <f>O53*(1+Input!$B$36)</f>
        <v>89.302499999999995</v>
      </c>
      <c r="S53" s="47">
        <f>P53*(1+Input!$B$36)</f>
        <v>93.767624999999995</v>
      </c>
      <c r="T53" s="47">
        <f>Q53*(1+Input!$B$36)</f>
        <v>93.767624999999995</v>
      </c>
      <c r="U53" s="47">
        <f>R53*(1+Input!$B$36)</f>
        <v>93.767624999999995</v>
      </c>
      <c r="V53" s="47">
        <f>S53*(1+Input!$B$36)</f>
        <v>98.456006250000002</v>
      </c>
      <c r="W53" s="47">
        <f>T53*(1+Input!$B$36)</f>
        <v>98.456006250000002</v>
      </c>
      <c r="X53" s="47">
        <f>U53*(1+Input!$B$36)</f>
        <v>98.456006250000002</v>
      </c>
      <c r="Y53" s="47">
        <f>V53*(1+Input!$B$36)</f>
        <v>103.3788065625</v>
      </c>
      <c r="Z53" s="47">
        <f>W53*(1+Input!$B$36)</f>
        <v>103.3788065625</v>
      </c>
      <c r="AA53" s="47">
        <f>X53*(1+Input!$B$36)</f>
        <v>103.3788065625</v>
      </c>
      <c r="AB53" s="47">
        <f>Y53*(1+Input!$B$36)</f>
        <v>108.54774689062501</v>
      </c>
      <c r="AC53" s="47">
        <f>Z53*(1+Input!$B$36)</f>
        <v>108.54774689062501</v>
      </c>
      <c r="AD53" s="47">
        <f>AA53*(1+Input!$B$36)</f>
        <v>108.54774689062501</v>
      </c>
      <c r="AE53" s="47">
        <f>AB53*(1+Input!$B$36)</f>
        <v>113.97513423515626</v>
      </c>
      <c r="AF53" s="47">
        <f>AC53*(1+Input!$B$36)</f>
        <v>113.97513423515626</v>
      </c>
      <c r="AG53" s="47">
        <f>AD53*(1+Input!$B$36)</f>
        <v>113.97513423515626</v>
      </c>
      <c r="AH53" s="47">
        <f>AE53*(1+Input!$B$36)</f>
        <v>119.67389094691409</v>
      </c>
      <c r="AI53" s="47">
        <f>AF53*(1+Input!$B$36)</f>
        <v>119.67389094691409</v>
      </c>
      <c r="AJ53" s="47">
        <f>AG53*(1+Input!$B$36)</f>
        <v>119.67389094691409</v>
      </c>
      <c r="AK53" s="47" t="s">
        <v>98</v>
      </c>
    </row>
    <row r="54" spans="3:37" x14ac:dyDescent="0.25">
      <c r="E54" s="64" t="str">
        <f>Input!A148</f>
        <v xml:space="preserve">Nursery </v>
      </c>
      <c r="F54" s="57">
        <f>Input!B148</f>
        <v>15</v>
      </c>
      <c r="J54" s="47">
        <f>$F54*Input!$B$33*Input!$B$28*Input!$B$11</f>
        <v>81</v>
      </c>
      <c r="K54" s="47">
        <f>$F54*Input!$B$33*Input!$B$28*Input!$B$11</f>
        <v>81</v>
      </c>
      <c r="L54" s="47">
        <f>$F54*Input!$B$33*Input!$B$28*Input!$B$11</f>
        <v>81</v>
      </c>
      <c r="M54" s="47">
        <f>J54*(1+Input!$B$36)</f>
        <v>85.05</v>
      </c>
      <c r="N54" s="47">
        <f>K54*(1+Input!$B$36)</f>
        <v>85.05</v>
      </c>
      <c r="O54" s="47">
        <f>L54*(1+Input!$B$36)</f>
        <v>85.05</v>
      </c>
      <c r="P54" s="47">
        <f>M54*(1+Input!$B$36)</f>
        <v>89.302499999999995</v>
      </c>
      <c r="Q54" s="47">
        <f>N54*(1+Input!$B$36)</f>
        <v>89.302499999999995</v>
      </c>
      <c r="R54" s="47">
        <f>O54*(1+Input!$B$36)</f>
        <v>89.302499999999995</v>
      </c>
      <c r="S54" s="47">
        <f>P54*(1+Input!$B$36)</f>
        <v>93.767624999999995</v>
      </c>
      <c r="T54" s="47">
        <f>Q54*(1+Input!$B$36)</f>
        <v>93.767624999999995</v>
      </c>
      <c r="U54" s="47">
        <f>R54*(1+Input!$B$36)</f>
        <v>93.767624999999995</v>
      </c>
      <c r="V54" s="47">
        <f>S54*(1+Input!$B$36)</f>
        <v>98.456006250000002</v>
      </c>
      <c r="W54" s="47">
        <f>T54*(1+Input!$B$36)</f>
        <v>98.456006250000002</v>
      </c>
      <c r="X54" s="47">
        <f>U54*(1+Input!$B$36)</f>
        <v>98.456006250000002</v>
      </c>
      <c r="Y54" s="47">
        <f>V54*(1+Input!$B$36)</f>
        <v>103.3788065625</v>
      </c>
      <c r="Z54" s="47">
        <f>W54*(1+Input!$B$36)</f>
        <v>103.3788065625</v>
      </c>
      <c r="AA54" s="47">
        <f>X54*(1+Input!$B$36)</f>
        <v>103.3788065625</v>
      </c>
      <c r="AB54" s="47">
        <f>Y54*(1+Input!$B$36)</f>
        <v>108.54774689062501</v>
      </c>
      <c r="AC54" s="47">
        <f>Z54*(1+Input!$B$36)</f>
        <v>108.54774689062501</v>
      </c>
      <c r="AD54" s="47">
        <f>AA54*(1+Input!$B$36)</f>
        <v>108.54774689062501</v>
      </c>
      <c r="AE54" s="47">
        <f>AB54*(1+Input!$B$36)</f>
        <v>113.97513423515626</v>
      </c>
      <c r="AF54" s="47">
        <f>AC54*(1+Input!$B$36)</f>
        <v>113.97513423515626</v>
      </c>
      <c r="AG54" s="47">
        <f>AD54*(1+Input!$B$36)</f>
        <v>113.97513423515626</v>
      </c>
      <c r="AH54" s="47">
        <f>AE54*(1+Input!$B$36)</f>
        <v>119.67389094691409</v>
      </c>
      <c r="AI54" s="47">
        <f>AF54*(1+Input!$B$36)</f>
        <v>119.67389094691409</v>
      </c>
      <c r="AJ54" s="47">
        <f>AG54*(1+Input!$B$36)</f>
        <v>119.67389094691409</v>
      </c>
      <c r="AK54" s="47" t="s">
        <v>98</v>
      </c>
    </row>
    <row r="55" spans="3:37" x14ac:dyDescent="0.25">
      <c r="E55" s="64" t="str">
        <f>Input!A149</f>
        <v xml:space="preserve">Reception 1 </v>
      </c>
      <c r="F55" s="57">
        <f>Input!B149</f>
        <v>15</v>
      </c>
      <c r="J55" s="47">
        <f>$F55*Input!$B$33*Input!$B$28*Input!$B$11</f>
        <v>81</v>
      </c>
      <c r="K55" s="47">
        <f>$F55*Input!$B$33*Input!$B$28*Input!$B$11</f>
        <v>81</v>
      </c>
      <c r="L55" s="47">
        <f>$F55*Input!$B$33*Input!$B$28*Input!$B$11</f>
        <v>81</v>
      </c>
      <c r="M55" s="47">
        <f>J55*(1+Input!$B$36)</f>
        <v>85.05</v>
      </c>
      <c r="N55" s="47">
        <f>K55*(1+Input!$B$36)</f>
        <v>85.05</v>
      </c>
      <c r="O55" s="47">
        <f>L55*(1+Input!$B$36)</f>
        <v>85.05</v>
      </c>
      <c r="P55" s="47">
        <f>M55*(1+Input!$B$36)</f>
        <v>89.302499999999995</v>
      </c>
      <c r="Q55" s="47">
        <f>N55*(1+Input!$B$36)</f>
        <v>89.302499999999995</v>
      </c>
      <c r="R55" s="47">
        <f>O55*(1+Input!$B$36)</f>
        <v>89.302499999999995</v>
      </c>
      <c r="S55" s="47">
        <f>P55*(1+Input!$B$36)</f>
        <v>93.767624999999995</v>
      </c>
      <c r="T55" s="47">
        <f>Q55*(1+Input!$B$36)</f>
        <v>93.767624999999995</v>
      </c>
      <c r="U55" s="47">
        <f>R55*(1+Input!$B$36)</f>
        <v>93.767624999999995</v>
      </c>
      <c r="V55" s="47">
        <f>S55*(1+Input!$B$36)</f>
        <v>98.456006250000002</v>
      </c>
      <c r="W55" s="47">
        <f>T55*(1+Input!$B$36)</f>
        <v>98.456006250000002</v>
      </c>
      <c r="X55" s="47">
        <f>U55*(1+Input!$B$36)</f>
        <v>98.456006250000002</v>
      </c>
      <c r="Y55" s="47">
        <f>V55*(1+Input!$B$36)</f>
        <v>103.3788065625</v>
      </c>
      <c r="Z55" s="47">
        <f>W55*(1+Input!$B$36)</f>
        <v>103.3788065625</v>
      </c>
      <c r="AA55" s="47">
        <f>X55*(1+Input!$B$36)</f>
        <v>103.3788065625</v>
      </c>
      <c r="AB55" s="47">
        <f>Y55*(1+Input!$B$36)</f>
        <v>108.54774689062501</v>
      </c>
      <c r="AC55" s="47">
        <f>Z55*(1+Input!$B$36)</f>
        <v>108.54774689062501</v>
      </c>
      <c r="AD55" s="47">
        <f>AA55*(1+Input!$B$36)</f>
        <v>108.54774689062501</v>
      </c>
      <c r="AE55" s="47">
        <f>AB55*(1+Input!$B$36)</f>
        <v>113.97513423515626</v>
      </c>
      <c r="AF55" s="47">
        <f>AC55*(1+Input!$B$36)</f>
        <v>113.97513423515626</v>
      </c>
      <c r="AG55" s="47">
        <f>AD55*(1+Input!$B$36)</f>
        <v>113.97513423515626</v>
      </c>
      <c r="AH55" s="47">
        <f>AE55*(1+Input!$B$36)</f>
        <v>119.67389094691409</v>
      </c>
      <c r="AI55" s="47">
        <f>AF55*(1+Input!$B$36)</f>
        <v>119.67389094691409</v>
      </c>
      <c r="AJ55" s="47">
        <f>AG55*(1+Input!$B$36)</f>
        <v>119.67389094691409</v>
      </c>
      <c r="AK55" s="47" t="s">
        <v>98</v>
      </c>
    </row>
    <row r="56" spans="3:37" x14ac:dyDescent="0.25">
      <c r="E56" s="64" t="str">
        <f>Input!A150</f>
        <v xml:space="preserve">Reception 2 </v>
      </c>
      <c r="F56" s="57">
        <f>Input!B150</f>
        <v>15</v>
      </c>
      <c r="J56" s="47">
        <f>$F56*Input!$B$33*Input!$B$28*Input!$B$11</f>
        <v>81</v>
      </c>
      <c r="K56" s="47">
        <f>$F56*Input!$B$33*Input!$B$28*Input!$B$11</f>
        <v>81</v>
      </c>
      <c r="L56" s="47">
        <f>$F56*Input!$B$33*Input!$B$28*Input!$B$11</f>
        <v>81</v>
      </c>
      <c r="M56" s="47">
        <f>J56*(1+Input!$B$36)</f>
        <v>85.05</v>
      </c>
      <c r="N56" s="47">
        <f>K56*(1+Input!$B$36)</f>
        <v>85.05</v>
      </c>
      <c r="O56" s="47">
        <f>L56*(1+Input!$B$36)</f>
        <v>85.05</v>
      </c>
      <c r="P56" s="47">
        <f>M56*(1+Input!$B$36)</f>
        <v>89.302499999999995</v>
      </c>
      <c r="Q56" s="47">
        <f>N56*(1+Input!$B$36)</f>
        <v>89.302499999999995</v>
      </c>
      <c r="R56" s="47">
        <f>O56*(1+Input!$B$36)</f>
        <v>89.302499999999995</v>
      </c>
      <c r="S56" s="47">
        <f>P56*(1+Input!$B$36)</f>
        <v>93.767624999999995</v>
      </c>
      <c r="T56" s="47">
        <f>Q56*(1+Input!$B$36)</f>
        <v>93.767624999999995</v>
      </c>
      <c r="U56" s="47">
        <f>R56*(1+Input!$B$36)</f>
        <v>93.767624999999995</v>
      </c>
      <c r="V56" s="47">
        <f>S56*(1+Input!$B$36)</f>
        <v>98.456006250000002</v>
      </c>
      <c r="W56" s="47">
        <f>T56*(1+Input!$B$36)</f>
        <v>98.456006250000002</v>
      </c>
      <c r="X56" s="47">
        <f>U56*(1+Input!$B$36)</f>
        <v>98.456006250000002</v>
      </c>
      <c r="Y56" s="47">
        <f>V56*(1+Input!$B$36)</f>
        <v>103.3788065625</v>
      </c>
      <c r="Z56" s="47">
        <f>W56*(1+Input!$B$36)</f>
        <v>103.3788065625</v>
      </c>
      <c r="AA56" s="47">
        <f>X56*(1+Input!$B$36)</f>
        <v>103.3788065625</v>
      </c>
      <c r="AB56" s="47">
        <f>Y56*(1+Input!$B$36)</f>
        <v>108.54774689062501</v>
      </c>
      <c r="AC56" s="47">
        <f>Z56*(1+Input!$B$36)</f>
        <v>108.54774689062501</v>
      </c>
      <c r="AD56" s="47">
        <f>AA56*(1+Input!$B$36)</f>
        <v>108.54774689062501</v>
      </c>
      <c r="AE56" s="47">
        <f>AB56*(1+Input!$B$36)</f>
        <v>113.97513423515626</v>
      </c>
      <c r="AF56" s="47">
        <f>AC56*(1+Input!$B$36)</f>
        <v>113.97513423515626</v>
      </c>
      <c r="AG56" s="47">
        <f>AD56*(1+Input!$B$36)</f>
        <v>113.97513423515626</v>
      </c>
      <c r="AH56" s="47">
        <f>AE56*(1+Input!$B$36)</f>
        <v>119.67389094691409</v>
      </c>
      <c r="AI56" s="47">
        <f>AF56*(1+Input!$B$36)</f>
        <v>119.67389094691409</v>
      </c>
      <c r="AJ56" s="47">
        <f>AG56*(1+Input!$B$36)</f>
        <v>119.67389094691409</v>
      </c>
      <c r="AK56" s="47" t="s">
        <v>98</v>
      </c>
    </row>
    <row r="57" spans="3:37" x14ac:dyDescent="0.25">
      <c r="E57" s="64" t="str">
        <f>Input!A151</f>
        <v>Year 1</v>
      </c>
      <c r="F57" s="57">
        <f>Input!B151</f>
        <v>15</v>
      </c>
      <c r="J57" s="47">
        <f>$F57*Input!$B$33*Input!$B$28*Input!$B$11</f>
        <v>81</v>
      </c>
      <c r="K57" s="47">
        <f>$F57*Input!$B$33*Input!$B$28*Input!$B$11</f>
        <v>81</v>
      </c>
      <c r="L57" s="47">
        <f>$F57*Input!$B$33*Input!$B$28*Input!$B$11</f>
        <v>81</v>
      </c>
      <c r="M57" s="47">
        <f>J57*(1+Input!$B$36)</f>
        <v>85.05</v>
      </c>
      <c r="N57" s="47">
        <f>K57*(1+Input!$B$36)</f>
        <v>85.05</v>
      </c>
      <c r="O57" s="47">
        <f>L57*(1+Input!$B$36)</f>
        <v>85.05</v>
      </c>
      <c r="P57" s="47">
        <f>M57*(1+Input!$B$36)</f>
        <v>89.302499999999995</v>
      </c>
      <c r="Q57" s="47">
        <f>N57*(1+Input!$B$36)</f>
        <v>89.302499999999995</v>
      </c>
      <c r="R57" s="47">
        <f>O57*(1+Input!$B$36)</f>
        <v>89.302499999999995</v>
      </c>
      <c r="S57" s="47">
        <f>P57*(1+Input!$B$36)</f>
        <v>93.767624999999995</v>
      </c>
      <c r="T57" s="47">
        <f>Q57*(1+Input!$B$36)</f>
        <v>93.767624999999995</v>
      </c>
      <c r="U57" s="47">
        <f>R57*(1+Input!$B$36)</f>
        <v>93.767624999999995</v>
      </c>
      <c r="V57" s="47">
        <f>S57*(1+Input!$B$36)</f>
        <v>98.456006250000002</v>
      </c>
      <c r="W57" s="47">
        <f>T57*(1+Input!$B$36)</f>
        <v>98.456006250000002</v>
      </c>
      <c r="X57" s="47">
        <f>U57*(1+Input!$B$36)</f>
        <v>98.456006250000002</v>
      </c>
      <c r="Y57" s="47">
        <f>V57*(1+Input!$B$36)</f>
        <v>103.3788065625</v>
      </c>
      <c r="Z57" s="47">
        <f>W57*(1+Input!$B$36)</f>
        <v>103.3788065625</v>
      </c>
      <c r="AA57" s="47">
        <f>X57*(1+Input!$B$36)</f>
        <v>103.3788065625</v>
      </c>
      <c r="AB57" s="47">
        <f>Y57*(1+Input!$B$36)</f>
        <v>108.54774689062501</v>
      </c>
      <c r="AC57" s="47">
        <f>Z57*(1+Input!$B$36)</f>
        <v>108.54774689062501</v>
      </c>
      <c r="AD57" s="47">
        <f>AA57*(1+Input!$B$36)</f>
        <v>108.54774689062501</v>
      </c>
      <c r="AE57" s="47">
        <f>AB57*(1+Input!$B$36)</f>
        <v>113.97513423515626</v>
      </c>
      <c r="AF57" s="47">
        <f>AC57*(1+Input!$B$36)</f>
        <v>113.97513423515626</v>
      </c>
      <c r="AG57" s="47">
        <f>AD57*(1+Input!$B$36)</f>
        <v>113.97513423515626</v>
      </c>
      <c r="AH57" s="47">
        <f>AE57*(1+Input!$B$36)</f>
        <v>119.67389094691409</v>
      </c>
      <c r="AI57" s="47">
        <f>AF57*(1+Input!$B$36)</f>
        <v>119.67389094691409</v>
      </c>
      <c r="AJ57" s="47">
        <f>AG57*(1+Input!$B$36)</f>
        <v>119.67389094691409</v>
      </c>
      <c r="AK57" s="47" t="s">
        <v>98</v>
      </c>
    </row>
    <row r="58" spans="3:37" x14ac:dyDescent="0.25">
      <c r="E58" s="64" t="str">
        <f>Input!A152</f>
        <v>Year 2</v>
      </c>
      <c r="F58" s="57">
        <f>Input!B152</f>
        <v>15</v>
      </c>
      <c r="J58" s="47">
        <f>$F58*Input!$B$33*Input!$B$28*Input!$B$11</f>
        <v>81</v>
      </c>
      <c r="K58" s="47">
        <f>$F58*Input!$B$33*Input!$B$28*Input!$B$11</f>
        <v>81</v>
      </c>
      <c r="L58" s="47">
        <f>$F58*Input!$B$33*Input!$B$28*Input!$B$11</f>
        <v>81</v>
      </c>
      <c r="M58" s="47">
        <f>J58*(1+Input!$B$36)</f>
        <v>85.05</v>
      </c>
      <c r="N58" s="47">
        <f>K58*(1+Input!$B$36)</f>
        <v>85.05</v>
      </c>
      <c r="O58" s="47">
        <f>L58*(1+Input!$B$36)</f>
        <v>85.05</v>
      </c>
      <c r="P58" s="47">
        <f>M58*(1+Input!$B$36)</f>
        <v>89.302499999999995</v>
      </c>
      <c r="Q58" s="47">
        <f>N58*(1+Input!$B$36)</f>
        <v>89.302499999999995</v>
      </c>
      <c r="R58" s="47">
        <f>O58*(1+Input!$B$36)</f>
        <v>89.302499999999995</v>
      </c>
      <c r="S58" s="47">
        <f>P58*(1+Input!$B$36)</f>
        <v>93.767624999999995</v>
      </c>
      <c r="T58" s="47">
        <f>Q58*(1+Input!$B$36)</f>
        <v>93.767624999999995</v>
      </c>
      <c r="U58" s="47">
        <f>R58*(1+Input!$B$36)</f>
        <v>93.767624999999995</v>
      </c>
      <c r="V58" s="47">
        <f>S58*(1+Input!$B$36)</f>
        <v>98.456006250000002</v>
      </c>
      <c r="W58" s="47">
        <f>T58*(1+Input!$B$36)</f>
        <v>98.456006250000002</v>
      </c>
      <c r="X58" s="47">
        <f>U58*(1+Input!$B$36)</f>
        <v>98.456006250000002</v>
      </c>
      <c r="Y58" s="47">
        <f>V58*(1+Input!$B$36)</f>
        <v>103.3788065625</v>
      </c>
      <c r="Z58" s="47">
        <f>W58*(1+Input!$B$36)</f>
        <v>103.3788065625</v>
      </c>
      <c r="AA58" s="47">
        <f>X58*(1+Input!$B$36)</f>
        <v>103.3788065625</v>
      </c>
      <c r="AB58" s="47">
        <f>Y58*(1+Input!$B$36)</f>
        <v>108.54774689062501</v>
      </c>
      <c r="AC58" s="47">
        <f>Z58*(1+Input!$B$36)</f>
        <v>108.54774689062501</v>
      </c>
      <c r="AD58" s="47">
        <f>AA58*(1+Input!$B$36)</f>
        <v>108.54774689062501</v>
      </c>
      <c r="AE58" s="47">
        <f>AB58*(1+Input!$B$36)</f>
        <v>113.97513423515626</v>
      </c>
      <c r="AF58" s="47">
        <f>AC58*(1+Input!$B$36)</f>
        <v>113.97513423515626</v>
      </c>
      <c r="AG58" s="47">
        <f>AD58*(1+Input!$B$36)</f>
        <v>113.97513423515626</v>
      </c>
      <c r="AH58" s="47">
        <f>AE58*(1+Input!$B$36)</f>
        <v>119.67389094691409</v>
      </c>
      <c r="AI58" s="47">
        <f>AF58*(1+Input!$B$36)</f>
        <v>119.67389094691409</v>
      </c>
      <c r="AJ58" s="47">
        <f>AG58*(1+Input!$B$36)</f>
        <v>119.67389094691409</v>
      </c>
      <c r="AK58" s="47" t="s">
        <v>98</v>
      </c>
    </row>
    <row r="59" spans="3:37" x14ac:dyDescent="0.25">
      <c r="E59" s="64" t="str">
        <f>Input!A153</f>
        <v>Year 3</v>
      </c>
      <c r="F59" s="57">
        <f>Input!B153</f>
        <v>15</v>
      </c>
      <c r="J59" s="47">
        <f>$F59*Input!$B$33*Input!$B$28*Input!$B$11</f>
        <v>81</v>
      </c>
      <c r="K59" s="47">
        <f>$F59*Input!$B$33*Input!$B$28*Input!$B$11</f>
        <v>81</v>
      </c>
      <c r="L59" s="47">
        <f>$F59*Input!$B$33*Input!$B$28*Input!$B$11</f>
        <v>81</v>
      </c>
      <c r="M59" s="47">
        <f>J59*(1+Input!$B$36)</f>
        <v>85.05</v>
      </c>
      <c r="N59" s="47">
        <f>K59*(1+Input!$B$36)</f>
        <v>85.05</v>
      </c>
      <c r="O59" s="47">
        <f>L59*(1+Input!$B$36)</f>
        <v>85.05</v>
      </c>
      <c r="P59" s="47">
        <f>M59*(1+Input!$B$36)</f>
        <v>89.302499999999995</v>
      </c>
      <c r="Q59" s="47">
        <f>N59*(1+Input!$B$36)</f>
        <v>89.302499999999995</v>
      </c>
      <c r="R59" s="47">
        <f>O59*(1+Input!$B$36)</f>
        <v>89.302499999999995</v>
      </c>
      <c r="S59" s="47">
        <f>P59*(1+Input!$B$36)</f>
        <v>93.767624999999995</v>
      </c>
      <c r="T59" s="47">
        <f>Q59*(1+Input!$B$36)</f>
        <v>93.767624999999995</v>
      </c>
      <c r="U59" s="47">
        <f>R59*(1+Input!$B$36)</f>
        <v>93.767624999999995</v>
      </c>
      <c r="V59" s="47">
        <f>S59*(1+Input!$B$36)</f>
        <v>98.456006250000002</v>
      </c>
      <c r="W59" s="47">
        <f>T59*(1+Input!$B$36)</f>
        <v>98.456006250000002</v>
      </c>
      <c r="X59" s="47">
        <f>U59*(1+Input!$B$36)</f>
        <v>98.456006250000002</v>
      </c>
      <c r="Y59" s="47">
        <f>V59*(1+Input!$B$36)</f>
        <v>103.3788065625</v>
      </c>
      <c r="Z59" s="47">
        <f>W59*(1+Input!$B$36)</f>
        <v>103.3788065625</v>
      </c>
      <c r="AA59" s="47">
        <f>X59*(1+Input!$B$36)</f>
        <v>103.3788065625</v>
      </c>
      <c r="AB59" s="47">
        <f>Y59*(1+Input!$B$36)</f>
        <v>108.54774689062501</v>
      </c>
      <c r="AC59" s="47">
        <f>Z59*(1+Input!$B$36)</f>
        <v>108.54774689062501</v>
      </c>
      <c r="AD59" s="47">
        <f>AA59*(1+Input!$B$36)</f>
        <v>108.54774689062501</v>
      </c>
      <c r="AE59" s="47">
        <f>AB59*(1+Input!$B$36)</f>
        <v>113.97513423515626</v>
      </c>
      <c r="AF59" s="47">
        <f>AC59*(1+Input!$B$36)</f>
        <v>113.97513423515626</v>
      </c>
      <c r="AG59" s="47">
        <f>AD59*(1+Input!$B$36)</f>
        <v>113.97513423515626</v>
      </c>
      <c r="AH59" s="47">
        <f>AE59*(1+Input!$B$36)</f>
        <v>119.67389094691409</v>
      </c>
      <c r="AI59" s="47">
        <f>AF59*(1+Input!$B$36)</f>
        <v>119.67389094691409</v>
      </c>
      <c r="AJ59" s="47">
        <f>AG59*(1+Input!$B$36)</f>
        <v>119.67389094691409</v>
      </c>
      <c r="AK59" s="47" t="s">
        <v>98</v>
      </c>
    </row>
    <row r="60" spans="3:37" x14ac:dyDescent="0.25">
      <c r="E60" s="64" t="str">
        <f>Input!A154</f>
        <v>Year 4</v>
      </c>
      <c r="F60" s="57">
        <f>Input!B154</f>
        <v>15</v>
      </c>
      <c r="J60" s="47">
        <f>$F60*Input!$B$33*Input!$B$28*Input!$B$11</f>
        <v>81</v>
      </c>
      <c r="K60" s="47">
        <f>$F60*Input!$B$33*Input!$B$28*Input!$B$11</f>
        <v>81</v>
      </c>
      <c r="L60" s="47">
        <f>$F60*Input!$B$33*Input!$B$28*Input!$B$11</f>
        <v>81</v>
      </c>
      <c r="M60" s="47">
        <f>J60*(1+Input!$B$36)</f>
        <v>85.05</v>
      </c>
      <c r="N60" s="47">
        <f>K60*(1+Input!$B$36)</f>
        <v>85.05</v>
      </c>
      <c r="O60" s="47">
        <f>L60*(1+Input!$B$36)</f>
        <v>85.05</v>
      </c>
      <c r="P60" s="47">
        <f>M60*(1+Input!$B$36)</f>
        <v>89.302499999999995</v>
      </c>
      <c r="Q60" s="47">
        <f>N60*(1+Input!$B$36)</f>
        <v>89.302499999999995</v>
      </c>
      <c r="R60" s="47">
        <f>O60*(1+Input!$B$36)</f>
        <v>89.302499999999995</v>
      </c>
      <c r="S60" s="47">
        <f>P60*(1+Input!$B$36)</f>
        <v>93.767624999999995</v>
      </c>
      <c r="T60" s="47">
        <f>Q60*(1+Input!$B$36)</f>
        <v>93.767624999999995</v>
      </c>
      <c r="U60" s="47">
        <f>R60*(1+Input!$B$36)</f>
        <v>93.767624999999995</v>
      </c>
      <c r="V60" s="47">
        <f>S60*(1+Input!$B$36)</f>
        <v>98.456006250000002</v>
      </c>
      <c r="W60" s="47">
        <f>T60*(1+Input!$B$36)</f>
        <v>98.456006250000002</v>
      </c>
      <c r="X60" s="47">
        <f>U60*(1+Input!$B$36)</f>
        <v>98.456006250000002</v>
      </c>
      <c r="Y60" s="47">
        <f>V60*(1+Input!$B$36)</f>
        <v>103.3788065625</v>
      </c>
      <c r="Z60" s="47">
        <f>W60*(1+Input!$B$36)</f>
        <v>103.3788065625</v>
      </c>
      <c r="AA60" s="47">
        <f>X60*(1+Input!$B$36)</f>
        <v>103.3788065625</v>
      </c>
      <c r="AB60" s="47">
        <f>Y60*(1+Input!$B$36)</f>
        <v>108.54774689062501</v>
      </c>
      <c r="AC60" s="47">
        <f>Z60*(1+Input!$B$36)</f>
        <v>108.54774689062501</v>
      </c>
      <c r="AD60" s="47">
        <f>AA60*(1+Input!$B$36)</f>
        <v>108.54774689062501</v>
      </c>
      <c r="AE60" s="47">
        <f>AB60*(1+Input!$B$36)</f>
        <v>113.97513423515626</v>
      </c>
      <c r="AF60" s="47">
        <f>AC60*(1+Input!$B$36)</f>
        <v>113.97513423515626</v>
      </c>
      <c r="AG60" s="47">
        <f>AD60*(1+Input!$B$36)</f>
        <v>113.97513423515626</v>
      </c>
      <c r="AH60" s="47">
        <f>AE60*(1+Input!$B$36)</f>
        <v>119.67389094691409</v>
      </c>
      <c r="AI60" s="47">
        <f>AF60*(1+Input!$B$36)</f>
        <v>119.67389094691409</v>
      </c>
      <c r="AJ60" s="47">
        <f>AG60*(1+Input!$B$36)</f>
        <v>119.67389094691409</v>
      </c>
      <c r="AK60" s="47" t="s">
        <v>98</v>
      </c>
    </row>
    <row r="61" spans="3:37" x14ac:dyDescent="0.25">
      <c r="E61" s="64" t="str">
        <f>Input!A155</f>
        <v>Year 5</v>
      </c>
      <c r="F61" s="57">
        <f>Input!B155</f>
        <v>15</v>
      </c>
      <c r="J61" s="47">
        <f>$F61*Input!$B$33*Input!$B$28*Input!$B$11</f>
        <v>81</v>
      </c>
      <c r="K61" s="47">
        <f>$F61*Input!$B$33*Input!$B$28*Input!$B$11</f>
        <v>81</v>
      </c>
      <c r="L61" s="47">
        <f>$F61*Input!$B$33*Input!$B$28*Input!$B$11</f>
        <v>81</v>
      </c>
      <c r="M61" s="47">
        <f>J61*(1+Input!$B$36)</f>
        <v>85.05</v>
      </c>
      <c r="N61" s="47">
        <f>K61*(1+Input!$B$36)</f>
        <v>85.05</v>
      </c>
      <c r="O61" s="47">
        <f>L61*(1+Input!$B$36)</f>
        <v>85.05</v>
      </c>
      <c r="P61" s="47">
        <f>M61*(1+Input!$B$36)</f>
        <v>89.302499999999995</v>
      </c>
      <c r="Q61" s="47">
        <f>N61*(1+Input!$B$36)</f>
        <v>89.302499999999995</v>
      </c>
      <c r="R61" s="47">
        <f>O61*(1+Input!$B$36)</f>
        <v>89.302499999999995</v>
      </c>
      <c r="S61" s="47">
        <f>P61*(1+Input!$B$36)</f>
        <v>93.767624999999995</v>
      </c>
      <c r="T61" s="47">
        <f>Q61*(1+Input!$B$36)</f>
        <v>93.767624999999995</v>
      </c>
      <c r="U61" s="47">
        <f>R61*(1+Input!$B$36)</f>
        <v>93.767624999999995</v>
      </c>
      <c r="V61" s="47">
        <f>S61*(1+Input!$B$36)</f>
        <v>98.456006250000002</v>
      </c>
      <c r="W61" s="47">
        <f>T61*(1+Input!$B$36)</f>
        <v>98.456006250000002</v>
      </c>
      <c r="X61" s="47">
        <f>U61*(1+Input!$B$36)</f>
        <v>98.456006250000002</v>
      </c>
      <c r="Y61" s="47">
        <f>V61*(1+Input!$B$36)</f>
        <v>103.3788065625</v>
      </c>
      <c r="Z61" s="47">
        <f>W61*(1+Input!$B$36)</f>
        <v>103.3788065625</v>
      </c>
      <c r="AA61" s="47">
        <f>X61*(1+Input!$B$36)</f>
        <v>103.3788065625</v>
      </c>
      <c r="AB61" s="47">
        <f>Y61*(1+Input!$B$36)</f>
        <v>108.54774689062501</v>
      </c>
      <c r="AC61" s="47">
        <f>Z61*(1+Input!$B$36)</f>
        <v>108.54774689062501</v>
      </c>
      <c r="AD61" s="47">
        <f>AA61*(1+Input!$B$36)</f>
        <v>108.54774689062501</v>
      </c>
      <c r="AE61" s="47">
        <f>AB61*(1+Input!$B$36)</f>
        <v>113.97513423515626</v>
      </c>
      <c r="AF61" s="47">
        <f>AC61*(1+Input!$B$36)</f>
        <v>113.97513423515626</v>
      </c>
      <c r="AG61" s="47">
        <f>AD61*(1+Input!$B$36)</f>
        <v>113.97513423515626</v>
      </c>
      <c r="AH61" s="47">
        <f>AE61*(1+Input!$B$36)</f>
        <v>119.67389094691409</v>
      </c>
      <c r="AI61" s="47">
        <f>AF61*(1+Input!$B$36)</f>
        <v>119.67389094691409</v>
      </c>
      <c r="AJ61" s="47">
        <f>AG61*(1+Input!$B$36)</f>
        <v>119.67389094691409</v>
      </c>
      <c r="AK61" s="47" t="s">
        <v>98</v>
      </c>
    </row>
    <row r="62" spans="3:37" x14ac:dyDescent="0.25">
      <c r="E62" s="64" t="str">
        <f>Input!A156</f>
        <v>Year 6</v>
      </c>
      <c r="F62" s="57">
        <f>Input!B156</f>
        <v>15</v>
      </c>
      <c r="J62" s="47">
        <f>$F62*Input!$B$33*Input!$B$28*Input!$B$11</f>
        <v>81</v>
      </c>
      <c r="K62" s="47">
        <f>$F62*Input!$B$33*Input!$B$28*Input!$B$11</f>
        <v>81</v>
      </c>
      <c r="L62" s="47">
        <f>$F62*Input!$B$33*Input!$B$28*Input!$B$11</f>
        <v>81</v>
      </c>
      <c r="M62" s="47">
        <f>J62*(1+Input!$B$36)</f>
        <v>85.05</v>
      </c>
      <c r="N62" s="47">
        <f>K62*(1+Input!$B$36)</f>
        <v>85.05</v>
      </c>
      <c r="O62" s="47">
        <f>L62*(1+Input!$B$36)</f>
        <v>85.05</v>
      </c>
      <c r="P62" s="47">
        <f>M62*(1+Input!$B$36)</f>
        <v>89.302499999999995</v>
      </c>
      <c r="Q62" s="47">
        <f>N62*(1+Input!$B$36)</f>
        <v>89.302499999999995</v>
      </c>
      <c r="R62" s="47">
        <f>O62*(1+Input!$B$36)</f>
        <v>89.302499999999995</v>
      </c>
      <c r="S62" s="47">
        <f>P62*(1+Input!$B$36)</f>
        <v>93.767624999999995</v>
      </c>
      <c r="T62" s="47">
        <f>Q62*(1+Input!$B$36)</f>
        <v>93.767624999999995</v>
      </c>
      <c r="U62" s="47">
        <f>R62*(1+Input!$B$36)</f>
        <v>93.767624999999995</v>
      </c>
      <c r="V62" s="47">
        <f>S62*(1+Input!$B$36)</f>
        <v>98.456006250000002</v>
      </c>
      <c r="W62" s="47">
        <f>T62*(1+Input!$B$36)</f>
        <v>98.456006250000002</v>
      </c>
      <c r="X62" s="47">
        <f>U62*(1+Input!$B$36)</f>
        <v>98.456006250000002</v>
      </c>
      <c r="Y62" s="47">
        <f>V62*(1+Input!$B$36)</f>
        <v>103.3788065625</v>
      </c>
      <c r="Z62" s="47">
        <f>W62*(1+Input!$B$36)</f>
        <v>103.3788065625</v>
      </c>
      <c r="AA62" s="47">
        <f>X62*(1+Input!$B$36)</f>
        <v>103.3788065625</v>
      </c>
      <c r="AB62" s="47">
        <f>Y62*(1+Input!$B$36)</f>
        <v>108.54774689062501</v>
      </c>
      <c r="AC62" s="47">
        <f>Z62*(1+Input!$B$36)</f>
        <v>108.54774689062501</v>
      </c>
      <c r="AD62" s="47">
        <f>AA62*(1+Input!$B$36)</f>
        <v>108.54774689062501</v>
      </c>
      <c r="AE62" s="47">
        <f>AB62*(1+Input!$B$36)</f>
        <v>113.97513423515626</v>
      </c>
      <c r="AF62" s="47">
        <f>AC62*(1+Input!$B$36)</f>
        <v>113.97513423515626</v>
      </c>
      <c r="AG62" s="47">
        <f>AD62*(1+Input!$B$36)</f>
        <v>113.97513423515626</v>
      </c>
      <c r="AH62" s="47">
        <f>AE62*(1+Input!$B$36)</f>
        <v>119.67389094691409</v>
      </c>
      <c r="AI62" s="47">
        <f>AF62*(1+Input!$B$36)</f>
        <v>119.67389094691409</v>
      </c>
      <c r="AJ62" s="47">
        <f>AG62*(1+Input!$B$36)</f>
        <v>119.67389094691409</v>
      </c>
      <c r="AK62" s="47" t="s">
        <v>98</v>
      </c>
    </row>
    <row r="63" spans="3:37" x14ac:dyDescent="0.25">
      <c r="E63" s="64" t="str">
        <f>Input!A157</f>
        <v>Year 7</v>
      </c>
      <c r="F63" s="57">
        <f>Input!B157</f>
        <v>15</v>
      </c>
      <c r="J63" s="47">
        <f>$F63*Input!$B$33*Input!$B$28*Input!$B$11</f>
        <v>81</v>
      </c>
      <c r="K63" s="47">
        <f>$F63*Input!$B$33*Input!$B$28*Input!$B$11</f>
        <v>81</v>
      </c>
      <c r="L63" s="47">
        <f>$F63*Input!$B$33*Input!$B$28*Input!$B$11</f>
        <v>81</v>
      </c>
      <c r="M63" s="47">
        <f>J63*(1+Input!$B$36)</f>
        <v>85.05</v>
      </c>
      <c r="N63" s="47">
        <f>K63*(1+Input!$B$36)</f>
        <v>85.05</v>
      </c>
      <c r="O63" s="47">
        <f>L63*(1+Input!$B$36)</f>
        <v>85.05</v>
      </c>
      <c r="P63" s="47">
        <f>M63*(1+Input!$B$36)</f>
        <v>89.302499999999995</v>
      </c>
      <c r="Q63" s="47">
        <f>N63*(1+Input!$B$36)</f>
        <v>89.302499999999995</v>
      </c>
      <c r="R63" s="47">
        <f>O63*(1+Input!$B$36)</f>
        <v>89.302499999999995</v>
      </c>
      <c r="S63" s="47">
        <f>P63*(1+Input!$B$36)</f>
        <v>93.767624999999995</v>
      </c>
      <c r="T63" s="47">
        <f>Q63*(1+Input!$B$36)</f>
        <v>93.767624999999995</v>
      </c>
      <c r="U63" s="47">
        <f>R63*(1+Input!$B$36)</f>
        <v>93.767624999999995</v>
      </c>
      <c r="V63" s="47">
        <f>S63*(1+Input!$B$36)</f>
        <v>98.456006250000002</v>
      </c>
      <c r="W63" s="47">
        <f>T63*(1+Input!$B$36)</f>
        <v>98.456006250000002</v>
      </c>
      <c r="X63" s="47">
        <f>U63*(1+Input!$B$36)</f>
        <v>98.456006250000002</v>
      </c>
      <c r="Y63" s="47">
        <f>V63*(1+Input!$B$36)</f>
        <v>103.3788065625</v>
      </c>
      <c r="Z63" s="47">
        <f>W63*(1+Input!$B$36)</f>
        <v>103.3788065625</v>
      </c>
      <c r="AA63" s="47">
        <f>X63*(1+Input!$B$36)</f>
        <v>103.3788065625</v>
      </c>
      <c r="AB63" s="47">
        <f>Y63*(1+Input!$B$36)</f>
        <v>108.54774689062501</v>
      </c>
      <c r="AC63" s="47">
        <f>Z63*(1+Input!$B$36)</f>
        <v>108.54774689062501</v>
      </c>
      <c r="AD63" s="47">
        <f>AA63*(1+Input!$B$36)</f>
        <v>108.54774689062501</v>
      </c>
      <c r="AE63" s="47">
        <f>AB63*(1+Input!$B$36)</f>
        <v>113.97513423515626</v>
      </c>
      <c r="AF63" s="47">
        <f>AC63*(1+Input!$B$36)</f>
        <v>113.97513423515626</v>
      </c>
      <c r="AG63" s="47">
        <f>AD63*(1+Input!$B$36)</f>
        <v>113.97513423515626</v>
      </c>
      <c r="AH63" s="47">
        <f>AE63*(1+Input!$B$36)</f>
        <v>119.67389094691409</v>
      </c>
      <c r="AI63" s="47">
        <f>AF63*(1+Input!$B$36)</f>
        <v>119.67389094691409</v>
      </c>
      <c r="AJ63" s="47">
        <f>AG63*(1+Input!$B$36)</f>
        <v>119.67389094691409</v>
      </c>
      <c r="AK63" s="47" t="s">
        <v>98</v>
      </c>
    </row>
    <row r="64" spans="3:37" x14ac:dyDescent="0.25">
      <c r="E64" s="64" t="str">
        <f>Input!A158</f>
        <v>Year 8</v>
      </c>
      <c r="F64" s="57">
        <f>Input!B158</f>
        <v>15</v>
      </c>
      <c r="J64" s="47">
        <f>$F64*Input!$B$33*Input!$B$28*Input!$B$11</f>
        <v>81</v>
      </c>
      <c r="K64" s="47">
        <f>$F64*Input!$B$33*Input!$B$28*Input!$B$11</f>
        <v>81</v>
      </c>
      <c r="L64" s="47">
        <f>$F64*Input!$B$33*Input!$B$28*Input!$B$11</f>
        <v>81</v>
      </c>
      <c r="M64" s="47">
        <f>J64*(1+Input!$B$36)</f>
        <v>85.05</v>
      </c>
      <c r="N64" s="47">
        <f>K64*(1+Input!$B$36)</f>
        <v>85.05</v>
      </c>
      <c r="O64" s="47">
        <f>L64*(1+Input!$B$36)</f>
        <v>85.05</v>
      </c>
      <c r="P64" s="47">
        <f>M64*(1+Input!$B$36)</f>
        <v>89.302499999999995</v>
      </c>
      <c r="Q64" s="47">
        <f>N64*(1+Input!$B$36)</f>
        <v>89.302499999999995</v>
      </c>
      <c r="R64" s="47">
        <f>O64*(1+Input!$B$36)</f>
        <v>89.302499999999995</v>
      </c>
      <c r="S64" s="47">
        <f>P64*(1+Input!$B$36)</f>
        <v>93.767624999999995</v>
      </c>
      <c r="T64" s="47">
        <f>Q64*(1+Input!$B$36)</f>
        <v>93.767624999999995</v>
      </c>
      <c r="U64" s="47">
        <f>R64*(1+Input!$B$36)</f>
        <v>93.767624999999995</v>
      </c>
      <c r="V64" s="47">
        <f>S64*(1+Input!$B$36)</f>
        <v>98.456006250000002</v>
      </c>
      <c r="W64" s="47">
        <f>T64*(1+Input!$B$36)</f>
        <v>98.456006250000002</v>
      </c>
      <c r="X64" s="47">
        <f>U64*(1+Input!$B$36)</f>
        <v>98.456006250000002</v>
      </c>
      <c r="Y64" s="47">
        <f>V64*(1+Input!$B$36)</f>
        <v>103.3788065625</v>
      </c>
      <c r="Z64" s="47">
        <f>W64*(1+Input!$B$36)</f>
        <v>103.3788065625</v>
      </c>
      <c r="AA64" s="47">
        <f>X64*(1+Input!$B$36)</f>
        <v>103.3788065625</v>
      </c>
      <c r="AB64" s="47">
        <f>Y64*(1+Input!$B$36)</f>
        <v>108.54774689062501</v>
      </c>
      <c r="AC64" s="47">
        <f>Z64*(1+Input!$B$36)</f>
        <v>108.54774689062501</v>
      </c>
      <c r="AD64" s="47">
        <f>AA64*(1+Input!$B$36)</f>
        <v>108.54774689062501</v>
      </c>
      <c r="AE64" s="47">
        <f>AB64*(1+Input!$B$36)</f>
        <v>113.97513423515626</v>
      </c>
      <c r="AF64" s="47">
        <f>AC64*(1+Input!$B$36)</f>
        <v>113.97513423515626</v>
      </c>
      <c r="AG64" s="47">
        <f>AD64*(1+Input!$B$36)</f>
        <v>113.97513423515626</v>
      </c>
      <c r="AH64" s="47">
        <f>AE64*(1+Input!$B$36)</f>
        <v>119.67389094691409</v>
      </c>
      <c r="AI64" s="47">
        <f>AF64*(1+Input!$B$36)</f>
        <v>119.67389094691409</v>
      </c>
      <c r="AJ64" s="47">
        <f>AG64*(1+Input!$B$36)</f>
        <v>119.67389094691409</v>
      </c>
      <c r="AK64" s="47" t="s">
        <v>98</v>
      </c>
    </row>
    <row r="65" spans="3:37" x14ac:dyDescent="0.25">
      <c r="E65" s="64" t="str">
        <f>Input!A159</f>
        <v>Year 9</v>
      </c>
      <c r="F65" s="57">
        <f>Input!B159</f>
        <v>15</v>
      </c>
      <c r="J65" s="47">
        <f>$F65*Input!$B$33*Input!$B$28*Input!$B$11</f>
        <v>81</v>
      </c>
      <c r="K65" s="47">
        <f>$F65*Input!$B$33*Input!$B$28*Input!$B$11</f>
        <v>81</v>
      </c>
      <c r="L65" s="47">
        <f>$F65*Input!$B$33*Input!$B$28*Input!$B$11</f>
        <v>81</v>
      </c>
      <c r="M65" s="47">
        <f>J65*(1+Input!$B$36)</f>
        <v>85.05</v>
      </c>
      <c r="N65" s="47">
        <f>K65*(1+Input!$B$36)</f>
        <v>85.05</v>
      </c>
      <c r="O65" s="47">
        <f>L65*(1+Input!$B$36)</f>
        <v>85.05</v>
      </c>
      <c r="P65" s="47">
        <f>M65*(1+Input!$B$36)</f>
        <v>89.302499999999995</v>
      </c>
      <c r="Q65" s="47">
        <f>N65*(1+Input!$B$36)</f>
        <v>89.302499999999995</v>
      </c>
      <c r="R65" s="47">
        <f>O65*(1+Input!$B$36)</f>
        <v>89.302499999999995</v>
      </c>
      <c r="S65" s="47">
        <f>P65*(1+Input!$B$36)</f>
        <v>93.767624999999995</v>
      </c>
      <c r="T65" s="47">
        <f>Q65*(1+Input!$B$36)</f>
        <v>93.767624999999995</v>
      </c>
      <c r="U65" s="47">
        <f>R65*(1+Input!$B$36)</f>
        <v>93.767624999999995</v>
      </c>
      <c r="V65" s="47">
        <f>S65*(1+Input!$B$36)</f>
        <v>98.456006250000002</v>
      </c>
      <c r="W65" s="47">
        <f>T65*(1+Input!$B$36)</f>
        <v>98.456006250000002</v>
      </c>
      <c r="X65" s="47">
        <f>U65*(1+Input!$B$36)</f>
        <v>98.456006250000002</v>
      </c>
      <c r="Y65" s="47">
        <f>V65*(1+Input!$B$36)</f>
        <v>103.3788065625</v>
      </c>
      <c r="Z65" s="47">
        <f>W65*(1+Input!$B$36)</f>
        <v>103.3788065625</v>
      </c>
      <c r="AA65" s="47">
        <f>X65*(1+Input!$B$36)</f>
        <v>103.3788065625</v>
      </c>
      <c r="AB65" s="47">
        <f>Y65*(1+Input!$B$36)</f>
        <v>108.54774689062501</v>
      </c>
      <c r="AC65" s="47">
        <f>Z65*(1+Input!$B$36)</f>
        <v>108.54774689062501</v>
      </c>
      <c r="AD65" s="47">
        <f>AA65*(1+Input!$B$36)</f>
        <v>108.54774689062501</v>
      </c>
      <c r="AE65" s="47">
        <f>AB65*(1+Input!$B$36)</f>
        <v>113.97513423515626</v>
      </c>
      <c r="AF65" s="47">
        <f>AC65*(1+Input!$B$36)</f>
        <v>113.97513423515626</v>
      </c>
      <c r="AG65" s="47">
        <f>AD65*(1+Input!$B$36)</f>
        <v>113.97513423515626</v>
      </c>
      <c r="AH65" s="47">
        <f>AE65*(1+Input!$B$36)</f>
        <v>119.67389094691409</v>
      </c>
      <c r="AI65" s="47">
        <f>AF65*(1+Input!$B$36)</f>
        <v>119.67389094691409</v>
      </c>
      <c r="AJ65" s="47">
        <f>AG65*(1+Input!$B$36)</f>
        <v>119.67389094691409</v>
      </c>
      <c r="AK65" s="47" t="s">
        <v>98</v>
      </c>
    </row>
    <row r="66" spans="3:37" x14ac:dyDescent="0.25">
      <c r="E66" s="64" t="str">
        <f>Input!A160</f>
        <v>Year 10</v>
      </c>
      <c r="F66" s="57">
        <f>Input!B160</f>
        <v>15</v>
      </c>
      <c r="J66" s="47">
        <f>$F66*Input!$B$33*Input!$B$28*Input!$B$11</f>
        <v>81</v>
      </c>
      <c r="K66" s="47">
        <f>$F66*Input!$B$33*Input!$B$28*Input!$B$11</f>
        <v>81</v>
      </c>
      <c r="L66" s="47">
        <f>$F66*Input!$B$33*Input!$B$28*Input!$B$11</f>
        <v>81</v>
      </c>
      <c r="M66" s="47">
        <f>J66*(1+Input!$B$36)</f>
        <v>85.05</v>
      </c>
      <c r="N66" s="47">
        <f>K66*(1+Input!$B$36)</f>
        <v>85.05</v>
      </c>
      <c r="O66" s="47">
        <f>L66*(1+Input!$B$36)</f>
        <v>85.05</v>
      </c>
      <c r="P66" s="47">
        <f>M66*(1+Input!$B$36)</f>
        <v>89.302499999999995</v>
      </c>
      <c r="Q66" s="47">
        <f>N66*(1+Input!$B$36)</f>
        <v>89.302499999999995</v>
      </c>
      <c r="R66" s="47">
        <f>O66*(1+Input!$B$36)</f>
        <v>89.302499999999995</v>
      </c>
      <c r="S66" s="47">
        <f>P66*(1+Input!$B$36)</f>
        <v>93.767624999999995</v>
      </c>
      <c r="T66" s="47">
        <f>Q66*(1+Input!$B$36)</f>
        <v>93.767624999999995</v>
      </c>
      <c r="U66" s="47">
        <f>R66*(1+Input!$B$36)</f>
        <v>93.767624999999995</v>
      </c>
      <c r="V66" s="47">
        <f>S66*(1+Input!$B$36)</f>
        <v>98.456006250000002</v>
      </c>
      <c r="W66" s="47">
        <f>T66*(1+Input!$B$36)</f>
        <v>98.456006250000002</v>
      </c>
      <c r="X66" s="47">
        <f>U66*(1+Input!$B$36)</f>
        <v>98.456006250000002</v>
      </c>
      <c r="Y66" s="47">
        <f>V66*(1+Input!$B$36)</f>
        <v>103.3788065625</v>
      </c>
      <c r="Z66" s="47">
        <f>W66*(1+Input!$B$36)</f>
        <v>103.3788065625</v>
      </c>
      <c r="AA66" s="47">
        <f>X66*(1+Input!$B$36)</f>
        <v>103.3788065625</v>
      </c>
      <c r="AB66" s="47">
        <f>Y66*(1+Input!$B$36)</f>
        <v>108.54774689062501</v>
      </c>
      <c r="AC66" s="47">
        <f>Z66*(1+Input!$B$36)</f>
        <v>108.54774689062501</v>
      </c>
      <c r="AD66" s="47">
        <f>AA66*(1+Input!$B$36)</f>
        <v>108.54774689062501</v>
      </c>
      <c r="AE66" s="47">
        <f>AB66*(1+Input!$B$36)</f>
        <v>113.97513423515626</v>
      </c>
      <c r="AF66" s="47">
        <f>AC66*(1+Input!$B$36)</f>
        <v>113.97513423515626</v>
      </c>
      <c r="AG66" s="47">
        <f>AD66*(1+Input!$B$36)</f>
        <v>113.97513423515626</v>
      </c>
      <c r="AH66" s="47">
        <f>AE66*(1+Input!$B$36)</f>
        <v>119.67389094691409</v>
      </c>
      <c r="AI66" s="47">
        <f>AF66*(1+Input!$B$36)</f>
        <v>119.67389094691409</v>
      </c>
      <c r="AJ66" s="47">
        <f>AG66*(1+Input!$B$36)</f>
        <v>119.67389094691409</v>
      </c>
      <c r="AK66" s="47" t="s">
        <v>98</v>
      </c>
    </row>
    <row r="67" spans="3:37" x14ac:dyDescent="0.25">
      <c r="E67" s="64" t="str">
        <f>Input!A161</f>
        <v>Year 11</v>
      </c>
      <c r="F67" s="57">
        <f>Input!B161</f>
        <v>15</v>
      </c>
      <c r="J67" s="47">
        <f>$F67*Input!$B$33*Input!$B$28*Input!$B$11</f>
        <v>81</v>
      </c>
      <c r="K67" s="47">
        <f>$F67*Input!$B$33*Input!$B$28*Input!$B$11</f>
        <v>81</v>
      </c>
      <c r="L67" s="47">
        <f>$F67*Input!$B$33*Input!$B$28*Input!$B$11</f>
        <v>81</v>
      </c>
      <c r="M67" s="47">
        <f>J67*(1+Input!$B$36)</f>
        <v>85.05</v>
      </c>
      <c r="N67" s="47">
        <f>K67*(1+Input!$B$36)</f>
        <v>85.05</v>
      </c>
      <c r="O67" s="47">
        <f>L67*(1+Input!$B$36)</f>
        <v>85.05</v>
      </c>
      <c r="P67" s="47">
        <f>M67*(1+Input!$B$36)</f>
        <v>89.302499999999995</v>
      </c>
      <c r="Q67" s="47">
        <f>N67*(1+Input!$B$36)</f>
        <v>89.302499999999995</v>
      </c>
      <c r="R67" s="47">
        <f>O67*(1+Input!$B$36)</f>
        <v>89.302499999999995</v>
      </c>
      <c r="S67" s="47">
        <f>P67*(1+Input!$B$36)</f>
        <v>93.767624999999995</v>
      </c>
      <c r="T67" s="47">
        <f>Q67*(1+Input!$B$36)</f>
        <v>93.767624999999995</v>
      </c>
      <c r="U67" s="47">
        <f>R67*(1+Input!$B$36)</f>
        <v>93.767624999999995</v>
      </c>
      <c r="V67" s="47">
        <f>S67*(1+Input!$B$36)</f>
        <v>98.456006250000002</v>
      </c>
      <c r="W67" s="47">
        <f>T67*(1+Input!$B$36)</f>
        <v>98.456006250000002</v>
      </c>
      <c r="X67" s="47">
        <f>U67*(1+Input!$B$36)</f>
        <v>98.456006250000002</v>
      </c>
      <c r="Y67" s="47">
        <f>V67*(1+Input!$B$36)</f>
        <v>103.3788065625</v>
      </c>
      <c r="Z67" s="47">
        <f>W67*(1+Input!$B$36)</f>
        <v>103.3788065625</v>
      </c>
      <c r="AA67" s="47">
        <f>X67*(1+Input!$B$36)</f>
        <v>103.3788065625</v>
      </c>
      <c r="AB67" s="47">
        <f>Y67*(1+Input!$B$36)</f>
        <v>108.54774689062501</v>
      </c>
      <c r="AC67" s="47">
        <f>Z67*(1+Input!$B$36)</f>
        <v>108.54774689062501</v>
      </c>
      <c r="AD67" s="47">
        <f>AA67*(1+Input!$B$36)</f>
        <v>108.54774689062501</v>
      </c>
      <c r="AE67" s="47">
        <f>AB67*(1+Input!$B$36)</f>
        <v>113.97513423515626</v>
      </c>
      <c r="AF67" s="47">
        <f>AC67*(1+Input!$B$36)</f>
        <v>113.97513423515626</v>
      </c>
      <c r="AG67" s="47">
        <f>AD67*(1+Input!$B$36)</f>
        <v>113.97513423515626</v>
      </c>
      <c r="AH67" s="47">
        <f>AE67*(1+Input!$B$36)</f>
        <v>119.67389094691409</v>
      </c>
      <c r="AI67" s="47">
        <f>AF67*(1+Input!$B$36)</f>
        <v>119.67389094691409</v>
      </c>
      <c r="AJ67" s="47">
        <f>AG67*(1+Input!$B$36)</f>
        <v>119.67389094691409</v>
      </c>
      <c r="AK67" s="47" t="s">
        <v>98</v>
      </c>
    </row>
    <row r="68" spans="3:37" x14ac:dyDescent="0.25">
      <c r="E68" s="64" t="str">
        <f>Input!A162</f>
        <v>Year 12</v>
      </c>
      <c r="F68" s="57">
        <f>Input!B162</f>
        <v>15</v>
      </c>
      <c r="J68" s="47">
        <f>$F68*Input!$B$33*Input!$B$28*Input!$B$11</f>
        <v>81</v>
      </c>
      <c r="K68" s="47">
        <f>$F68*Input!$B$33*Input!$B$28*Input!$B$11</f>
        <v>81</v>
      </c>
      <c r="L68" s="47">
        <f>$F68*Input!$B$33*Input!$B$28*Input!$B$11</f>
        <v>81</v>
      </c>
      <c r="M68" s="47">
        <f>J68*(1+Input!$B$36)</f>
        <v>85.05</v>
      </c>
      <c r="N68" s="47">
        <f>K68*(1+Input!$B$36)</f>
        <v>85.05</v>
      </c>
      <c r="O68" s="47">
        <f>L68*(1+Input!$B$36)</f>
        <v>85.05</v>
      </c>
      <c r="P68" s="47">
        <f>M68*(1+Input!$B$36)</f>
        <v>89.302499999999995</v>
      </c>
      <c r="Q68" s="47">
        <f>N68*(1+Input!$B$36)</f>
        <v>89.302499999999995</v>
      </c>
      <c r="R68" s="47">
        <f>O68*(1+Input!$B$36)</f>
        <v>89.302499999999995</v>
      </c>
      <c r="S68" s="47">
        <f>P68*(1+Input!$B$36)</f>
        <v>93.767624999999995</v>
      </c>
      <c r="T68" s="47">
        <f>Q68*(1+Input!$B$36)</f>
        <v>93.767624999999995</v>
      </c>
      <c r="U68" s="47">
        <f>R68*(1+Input!$B$36)</f>
        <v>93.767624999999995</v>
      </c>
      <c r="V68" s="47">
        <f>S68*(1+Input!$B$36)</f>
        <v>98.456006250000002</v>
      </c>
      <c r="W68" s="47">
        <f>T68*(1+Input!$B$36)</f>
        <v>98.456006250000002</v>
      </c>
      <c r="X68" s="47">
        <f>U68*(1+Input!$B$36)</f>
        <v>98.456006250000002</v>
      </c>
      <c r="Y68" s="47">
        <f>V68*(1+Input!$B$36)</f>
        <v>103.3788065625</v>
      </c>
      <c r="Z68" s="47">
        <f>W68*(1+Input!$B$36)</f>
        <v>103.3788065625</v>
      </c>
      <c r="AA68" s="47">
        <f>X68*(1+Input!$B$36)</f>
        <v>103.3788065625</v>
      </c>
      <c r="AB68" s="47">
        <f>Y68*(1+Input!$B$36)</f>
        <v>108.54774689062501</v>
      </c>
      <c r="AC68" s="47">
        <f>Z68*(1+Input!$B$36)</f>
        <v>108.54774689062501</v>
      </c>
      <c r="AD68" s="47">
        <f>AA68*(1+Input!$B$36)</f>
        <v>108.54774689062501</v>
      </c>
      <c r="AE68" s="47">
        <f>AB68*(1+Input!$B$36)</f>
        <v>113.97513423515626</v>
      </c>
      <c r="AF68" s="47">
        <f>AC68*(1+Input!$B$36)</f>
        <v>113.97513423515626</v>
      </c>
      <c r="AG68" s="47">
        <f>AD68*(1+Input!$B$36)</f>
        <v>113.97513423515626</v>
      </c>
      <c r="AH68" s="47">
        <f>AE68*(1+Input!$B$36)</f>
        <v>119.67389094691409</v>
      </c>
      <c r="AI68" s="47">
        <f>AF68*(1+Input!$B$36)</f>
        <v>119.67389094691409</v>
      </c>
      <c r="AJ68" s="47">
        <f>AG68*(1+Input!$B$36)</f>
        <v>119.67389094691409</v>
      </c>
      <c r="AK68" s="47" t="s">
        <v>98</v>
      </c>
    </row>
    <row r="69" spans="3:37" x14ac:dyDescent="0.25">
      <c r="E69" s="64" t="str">
        <f>Input!A163</f>
        <v>Year 13</v>
      </c>
      <c r="F69" s="57">
        <f>Input!B163</f>
        <v>15</v>
      </c>
      <c r="J69" s="47">
        <f>$F69*Input!$B$33*Input!$B$28*Input!$B$11</f>
        <v>81</v>
      </c>
      <c r="K69" s="47">
        <f>$F69*Input!$B$33*Input!$B$28*Input!$B$11</f>
        <v>81</v>
      </c>
      <c r="L69" s="47">
        <f>$F69*Input!$B$33*Input!$B$28*Input!$B$11</f>
        <v>81</v>
      </c>
      <c r="M69" s="47">
        <f>J69*(1+Input!$B$36)</f>
        <v>85.05</v>
      </c>
      <c r="N69" s="47">
        <f>K69*(1+Input!$B$36)</f>
        <v>85.05</v>
      </c>
      <c r="O69" s="47">
        <f>L69*(1+Input!$B$36)</f>
        <v>85.05</v>
      </c>
      <c r="P69" s="47">
        <f>M69*(1+Input!$B$36)</f>
        <v>89.302499999999995</v>
      </c>
      <c r="Q69" s="47">
        <f>N69*(1+Input!$B$36)</f>
        <v>89.302499999999995</v>
      </c>
      <c r="R69" s="47">
        <f>O69*(1+Input!$B$36)</f>
        <v>89.302499999999995</v>
      </c>
      <c r="S69" s="47">
        <f>P69*(1+Input!$B$36)</f>
        <v>93.767624999999995</v>
      </c>
      <c r="T69" s="47">
        <f>Q69*(1+Input!$B$36)</f>
        <v>93.767624999999995</v>
      </c>
      <c r="U69" s="47">
        <f>R69*(1+Input!$B$36)</f>
        <v>93.767624999999995</v>
      </c>
      <c r="V69" s="47">
        <f>S69*(1+Input!$B$36)</f>
        <v>98.456006250000002</v>
      </c>
      <c r="W69" s="47">
        <f>T69*(1+Input!$B$36)</f>
        <v>98.456006250000002</v>
      </c>
      <c r="X69" s="47">
        <f>U69*(1+Input!$B$36)</f>
        <v>98.456006250000002</v>
      </c>
      <c r="Y69" s="47">
        <f>V69*(1+Input!$B$36)</f>
        <v>103.3788065625</v>
      </c>
      <c r="Z69" s="47">
        <f>W69*(1+Input!$B$36)</f>
        <v>103.3788065625</v>
      </c>
      <c r="AA69" s="47">
        <f>X69*(1+Input!$B$36)</f>
        <v>103.3788065625</v>
      </c>
      <c r="AB69" s="47">
        <f>Y69*(1+Input!$B$36)</f>
        <v>108.54774689062501</v>
      </c>
      <c r="AC69" s="47">
        <f>Z69*(1+Input!$B$36)</f>
        <v>108.54774689062501</v>
      </c>
      <c r="AD69" s="47">
        <f>AA69*(1+Input!$B$36)</f>
        <v>108.54774689062501</v>
      </c>
      <c r="AE69" s="47">
        <f>AB69*(1+Input!$B$36)</f>
        <v>113.97513423515626</v>
      </c>
      <c r="AF69" s="47">
        <f>AC69*(1+Input!$B$36)</f>
        <v>113.97513423515626</v>
      </c>
      <c r="AG69" s="47">
        <f>AD69*(1+Input!$B$36)</f>
        <v>113.97513423515626</v>
      </c>
      <c r="AH69" s="47">
        <f>AE69*(1+Input!$B$36)</f>
        <v>119.67389094691409</v>
      </c>
      <c r="AI69" s="47">
        <f>AF69*(1+Input!$B$36)</f>
        <v>119.67389094691409</v>
      </c>
      <c r="AJ69" s="47">
        <f>AG69*(1+Input!$B$36)</f>
        <v>119.67389094691409</v>
      </c>
      <c r="AK69" s="47" t="s">
        <v>98</v>
      </c>
    </row>
    <row r="70" spans="3:37" x14ac:dyDescent="0.25">
      <c r="E70" s="64" t="str">
        <f>Input!A164</f>
        <v>Year 14</v>
      </c>
      <c r="F70" s="57">
        <f>Input!B164</f>
        <v>15</v>
      </c>
      <c r="J70" s="47">
        <f>$F70*Input!$B$33*Input!$B$28*Input!$B$11</f>
        <v>81</v>
      </c>
      <c r="K70" s="47">
        <f>$F70*Input!$B$33*Input!$B$28*Input!$B$11</f>
        <v>81</v>
      </c>
      <c r="L70" s="47">
        <f>$F70*Input!$B$33*Input!$B$28*Input!$B$11</f>
        <v>81</v>
      </c>
      <c r="M70" s="47">
        <f>J70*(1+Input!$B$36)</f>
        <v>85.05</v>
      </c>
      <c r="N70" s="47">
        <f>K70*(1+Input!$B$36)</f>
        <v>85.05</v>
      </c>
      <c r="O70" s="47">
        <f>L70*(1+Input!$B$36)</f>
        <v>85.05</v>
      </c>
      <c r="P70" s="47">
        <f>M70*(1+Input!$B$36)</f>
        <v>89.302499999999995</v>
      </c>
      <c r="Q70" s="47">
        <f>N70*(1+Input!$B$36)</f>
        <v>89.302499999999995</v>
      </c>
      <c r="R70" s="47">
        <f>O70*(1+Input!$B$36)</f>
        <v>89.302499999999995</v>
      </c>
      <c r="S70" s="47">
        <f>P70*(1+Input!$B$36)</f>
        <v>93.767624999999995</v>
      </c>
      <c r="T70" s="47">
        <f>Q70*(1+Input!$B$36)</f>
        <v>93.767624999999995</v>
      </c>
      <c r="U70" s="47">
        <f>R70*(1+Input!$B$36)</f>
        <v>93.767624999999995</v>
      </c>
      <c r="V70" s="47">
        <f>S70*(1+Input!$B$36)</f>
        <v>98.456006250000002</v>
      </c>
      <c r="W70" s="47">
        <f>T70*(1+Input!$B$36)</f>
        <v>98.456006250000002</v>
      </c>
      <c r="X70" s="47">
        <f>U70*(1+Input!$B$36)</f>
        <v>98.456006250000002</v>
      </c>
      <c r="Y70" s="47">
        <f>V70*(1+Input!$B$36)</f>
        <v>103.3788065625</v>
      </c>
      <c r="Z70" s="47">
        <f>W70*(1+Input!$B$36)</f>
        <v>103.3788065625</v>
      </c>
      <c r="AA70" s="47">
        <f>X70*(1+Input!$B$36)</f>
        <v>103.3788065625</v>
      </c>
      <c r="AB70" s="47">
        <f>Y70*(1+Input!$B$36)</f>
        <v>108.54774689062501</v>
      </c>
      <c r="AC70" s="47">
        <f>Z70*(1+Input!$B$36)</f>
        <v>108.54774689062501</v>
      </c>
      <c r="AD70" s="47">
        <f>AA70*(1+Input!$B$36)</f>
        <v>108.54774689062501</v>
      </c>
      <c r="AE70" s="47">
        <f>AB70*(1+Input!$B$36)</f>
        <v>113.97513423515626</v>
      </c>
      <c r="AF70" s="47">
        <f>AC70*(1+Input!$B$36)</f>
        <v>113.97513423515626</v>
      </c>
      <c r="AG70" s="47">
        <f>AD70*(1+Input!$B$36)</f>
        <v>113.97513423515626</v>
      </c>
      <c r="AH70" s="47">
        <f>AE70*(1+Input!$B$36)</f>
        <v>119.67389094691409</v>
      </c>
      <c r="AI70" s="47">
        <f>AF70*(1+Input!$B$36)</f>
        <v>119.67389094691409</v>
      </c>
      <c r="AJ70" s="47">
        <f>AG70*(1+Input!$B$36)</f>
        <v>119.67389094691409</v>
      </c>
      <c r="AK70" s="47" t="s">
        <v>98</v>
      </c>
    </row>
    <row r="71" spans="3:37" x14ac:dyDescent="0.25">
      <c r="E71" s="64" t="s">
        <v>105</v>
      </c>
      <c r="F71" s="57"/>
      <c r="J71" s="47">
        <f>SUM(J52:J70)</f>
        <v>1539</v>
      </c>
      <c r="K71" s="47">
        <f t="shared" ref="K71:AJ71" si="2">SUM(K52:K70)</f>
        <v>1539</v>
      </c>
      <c r="L71" s="47">
        <f t="shared" si="2"/>
        <v>1539</v>
      </c>
      <c r="M71" s="47">
        <f t="shared" si="2"/>
        <v>1615.9499999999996</v>
      </c>
      <c r="N71" s="47">
        <f t="shared" si="2"/>
        <v>1615.9499999999996</v>
      </c>
      <c r="O71" s="47">
        <f t="shared" si="2"/>
        <v>1615.9499999999996</v>
      </c>
      <c r="P71" s="47">
        <f t="shared" si="2"/>
        <v>1696.7474999999999</v>
      </c>
      <c r="Q71" s="47">
        <f t="shared" si="2"/>
        <v>1696.7474999999999</v>
      </c>
      <c r="R71" s="47">
        <f t="shared" si="2"/>
        <v>1696.7474999999999</v>
      </c>
      <c r="S71" s="47">
        <f t="shared" si="2"/>
        <v>1781.5848749999993</v>
      </c>
      <c r="T71" s="47">
        <f t="shared" si="2"/>
        <v>1781.5848749999993</v>
      </c>
      <c r="U71" s="47">
        <f t="shared" si="2"/>
        <v>1781.5848749999993</v>
      </c>
      <c r="V71" s="47">
        <f t="shared" si="2"/>
        <v>1870.6641187499997</v>
      </c>
      <c r="W71" s="47">
        <f t="shared" si="2"/>
        <v>1870.6641187499997</v>
      </c>
      <c r="X71" s="47">
        <f t="shared" si="2"/>
        <v>1870.6641187499997</v>
      </c>
      <c r="Y71" s="47">
        <f t="shared" si="2"/>
        <v>1964.1973246874991</v>
      </c>
      <c r="Z71" s="47">
        <f t="shared" si="2"/>
        <v>1964.1973246874991</v>
      </c>
      <c r="AA71" s="47">
        <f t="shared" si="2"/>
        <v>1964.1973246874991</v>
      </c>
      <c r="AB71" s="47">
        <f t="shared" si="2"/>
        <v>2062.4071909218746</v>
      </c>
      <c r="AC71" s="47">
        <f t="shared" si="2"/>
        <v>2062.4071909218746</v>
      </c>
      <c r="AD71" s="47">
        <f t="shared" si="2"/>
        <v>2062.4071909218746</v>
      </c>
      <c r="AE71" s="47">
        <f t="shared" si="2"/>
        <v>2165.5275504679694</v>
      </c>
      <c r="AF71" s="47">
        <f t="shared" si="2"/>
        <v>2165.5275504679694</v>
      </c>
      <c r="AG71" s="47">
        <f t="shared" si="2"/>
        <v>2165.5275504679694</v>
      </c>
      <c r="AH71" s="47">
        <f t="shared" si="2"/>
        <v>2273.8039279913678</v>
      </c>
      <c r="AI71" s="47">
        <f t="shared" si="2"/>
        <v>2273.8039279913678</v>
      </c>
      <c r="AJ71" s="47">
        <f t="shared" si="2"/>
        <v>2273.8039279913678</v>
      </c>
      <c r="AK71" s="47" t="s">
        <v>98</v>
      </c>
    </row>
    <row r="72" spans="3:37" x14ac:dyDescent="0.25">
      <c r="E72" s="64"/>
      <c r="F72" s="57"/>
    </row>
    <row r="73" spans="3:37" x14ac:dyDescent="0.25">
      <c r="C73" s="64" t="str">
        <f>Input!A166</f>
        <v>Library</v>
      </c>
      <c r="E73" s="64"/>
      <c r="F73" s="57"/>
      <c r="AK73" s="47" t="s">
        <v>98</v>
      </c>
    </row>
    <row r="74" spans="3:37" x14ac:dyDescent="0.25">
      <c r="E74" s="64" t="str">
        <f>Input!A167</f>
        <v>Creche</v>
      </c>
      <c r="F74" s="57">
        <f>Input!B167</f>
        <v>43</v>
      </c>
      <c r="J74" s="47">
        <f>$F74*Input!$B$33*Input!$B$28*Input!$B$11</f>
        <v>232.2</v>
      </c>
      <c r="K74" s="47">
        <f>$F74*Input!$B$33*Input!$B$28*Input!$B$11</f>
        <v>232.2</v>
      </c>
      <c r="L74" s="47">
        <f>$F74*Input!$B$33*Input!$B$28*Input!$B$11</f>
        <v>232.2</v>
      </c>
      <c r="M74" s="47">
        <f>J74*(1+Input!$B$36)</f>
        <v>243.81</v>
      </c>
      <c r="N74" s="47">
        <f>K74*(1+Input!$B$36)</f>
        <v>243.81</v>
      </c>
      <c r="O74" s="47">
        <f>L74*(1+Input!$B$36)</f>
        <v>243.81</v>
      </c>
      <c r="P74" s="47">
        <f>M74*(1+Input!$B$36)</f>
        <v>256.00049999999999</v>
      </c>
      <c r="Q74" s="47">
        <f>N74*(1+Input!$B$36)</f>
        <v>256.00049999999999</v>
      </c>
      <c r="R74" s="47">
        <f>O74*(1+Input!$B$36)</f>
        <v>256.00049999999999</v>
      </c>
      <c r="S74" s="47">
        <f>P74*(1+Input!$B$36)</f>
        <v>268.80052499999999</v>
      </c>
      <c r="T74" s="47">
        <f>Q74*(1+Input!$B$36)</f>
        <v>268.80052499999999</v>
      </c>
      <c r="U74" s="47">
        <f>R74*(1+Input!$B$36)</f>
        <v>268.80052499999999</v>
      </c>
      <c r="V74" s="47">
        <f>S74*(1+Input!$B$36)</f>
        <v>282.24055125000001</v>
      </c>
      <c r="W74" s="47">
        <f>T74*(1+Input!$B$36)</f>
        <v>282.24055125000001</v>
      </c>
      <c r="X74" s="47">
        <f>U74*(1+Input!$B$36)</f>
        <v>282.24055125000001</v>
      </c>
      <c r="Y74" s="47">
        <f>V74*(1+Input!$B$36)</f>
        <v>296.35257881250004</v>
      </c>
      <c r="Z74" s="47">
        <f>W74*(1+Input!$B$36)</f>
        <v>296.35257881250004</v>
      </c>
      <c r="AA74" s="47">
        <f>X74*(1+Input!$B$36)</f>
        <v>296.35257881250004</v>
      </c>
      <c r="AB74" s="47">
        <f>Y74*(1+Input!$B$36)</f>
        <v>311.17020775312506</v>
      </c>
      <c r="AC74" s="47">
        <f>Z74*(1+Input!$B$36)</f>
        <v>311.17020775312506</v>
      </c>
      <c r="AD74" s="47">
        <f>AA74*(1+Input!$B$36)</f>
        <v>311.17020775312506</v>
      </c>
      <c r="AE74" s="47">
        <f>AB74*(1+Input!$B$36)</f>
        <v>326.72871814078133</v>
      </c>
      <c r="AF74" s="47">
        <f>AC74*(1+Input!$B$36)</f>
        <v>326.72871814078133</v>
      </c>
      <c r="AG74" s="47">
        <f>AD74*(1+Input!$B$36)</f>
        <v>326.72871814078133</v>
      </c>
      <c r="AH74" s="47">
        <f>AE74*(1+Input!$B$36)</f>
        <v>343.06515404782039</v>
      </c>
      <c r="AI74" s="47">
        <f>AF74*(1+Input!$B$36)</f>
        <v>343.06515404782039</v>
      </c>
      <c r="AJ74" s="47">
        <f>AG74*(1+Input!$B$36)</f>
        <v>343.06515404782039</v>
      </c>
      <c r="AK74" s="47" t="s">
        <v>98</v>
      </c>
    </row>
    <row r="75" spans="3:37" x14ac:dyDescent="0.25">
      <c r="E75" s="64" t="str">
        <f>Input!A168</f>
        <v>Playgroup</v>
      </c>
      <c r="F75" s="57">
        <f>Input!B168</f>
        <v>43</v>
      </c>
      <c r="J75" s="47">
        <f>$F75*Input!$B$33*Input!$B$28*Input!$B$11</f>
        <v>232.2</v>
      </c>
      <c r="K75" s="47">
        <f>$F75*Input!$B$33*Input!$B$28*Input!$B$11</f>
        <v>232.2</v>
      </c>
      <c r="L75" s="47">
        <f>$F75*Input!$B$33*Input!$B$28*Input!$B$11</f>
        <v>232.2</v>
      </c>
      <c r="M75" s="47">
        <f>J75*(1+Input!$B$36)</f>
        <v>243.81</v>
      </c>
      <c r="N75" s="47">
        <f>K75*(1+Input!$B$36)</f>
        <v>243.81</v>
      </c>
      <c r="O75" s="47">
        <f>L75*(1+Input!$B$36)</f>
        <v>243.81</v>
      </c>
      <c r="P75" s="47">
        <f>M75*(1+Input!$B$36)</f>
        <v>256.00049999999999</v>
      </c>
      <c r="Q75" s="47">
        <f>N75*(1+Input!$B$36)</f>
        <v>256.00049999999999</v>
      </c>
      <c r="R75" s="47">
        <f>O75*(1+Input!$B$36)</f>
        <v>256.00049999999999</v>
      </c>
      <c r="S75" s="47">
        <f>P75*(1+Input!$B$36)</f>
        <v>268.80052499999999</v>
      </c>
      <c r="T75" s="47">
        <f>Q75*(1+Input!$B$36)</f>
        <v>268.80052499999999</v>
      </c>
      <c r="U75" s="47">
        <f>R75*(1+Input!$B$36)</f>
        <v>268.80052499999999</v>
      </c>
      <c r="V75" s="47">
        <f>S75*(1+Input!$B$36)</f>
        <v>282.24055125000001</v>
      </c>
      <c r="W75" s="47">
        <f>T75*(1+Input!$B$36)</f>
        <v>282.24055125000001</v>
      </c>
      <c r="X75" s="47">
        <f>U75*(1+Input!$B$36)</f>
        <v>282.24055125000001</v>
      </c>
      <c r="Y75" s="47">
        <f>V75*(1+Input!$B$36)</f>
        <v>296.35257881250004</v>
      </c>
      <c r="Z75" s="47">
        <f>W75*(1+Input!$B$36)</f>
        <v>296.35257881250004</v>
      </c>
      <c r="AA75" s="47">
        <f>X75*(1+Input!$B$36)</f>
        <v>296.35257881250004</v>
      </c>
      <c r="AB75" s="47">
        <f>Y75*(1+Input!$B$36)</f>
        <v>311.17020775312506</v>
      </c>
      <c r="AC75" s="47">
        <f>Z75*(1+Input!$B$36)</f>
        <v>311.17020775312506</v>
      </c>
      <c r="AD75" s="47">
        <f>AA75*(1+Input!$B$36)</f>
        <v>311.17020775312506</v>
      </c>
      <c r="AE75" s="47">
        <f>AB75*(1+Input!$B$36)</f>
        <v>326.72871814078133</v>
      </c>
      <c r="AF75" s="47">
        <f>AC75*(1+Input!$B$36)</f>
        <v>326.72871814078133</v>
      </c>
      <c r="AG75" s="47">
        <f>AD75*(1+Input!$B$36)</f>
        <v>326.72871814078133</v>
      </c>
      <c r="AH75" s="47">
        <f>AE75*(1+Input!$B$36)</f>
        <v>343.06515404782039</v>
      </c>
      <c r="AI75" s="47">
        <f>AF75*(1+Input!$B$36)</f>
        <v>343.06515404782039</v>
      </c>
      <c r="AJ75" s="47">
        <f>AG75*(1+Input!$B$36)</f>
        <v>343.06515404782039</v>
      </c>
      <c r="AK75" s="47" t="s">
        <v>98</v>
      </c>
    </row>
    <row r="76" spans="3:37" x14ac:dyDescent="0.25">
      <c r="E76" s="64" t="str">
        <f>Input!A169</f>
        <v xml:space="preserve">Nursery </v>
      </c>
      <c r="F76" s="57">
        <f>Input!B169</f>
        <v>43</v>
      </c>
      <c r="J76" s="47">
        <f>$F76*Input!$B$33*Input!$B$28*Input!$B$11</f>
        <v>232.2</v>
      </c>
      <c r="K76" s="47">
        <f>$F76*Input!$B$33*Input!$B$28*Input!$B$11</f>
        <v>232.2</v>
      </c>
      <c r="L76" s="47">
        <f>$F76*Input!$B$33*Input!$B$28*Input!$B$11</f>
        <v>232.2</v>
      </c>
      <c r="M76" s="47">
        <f>J76*(1+Input!$B$36)</f>
        <v>243.81</v>
      </c>
      <c r="N76" s="47">
        <f>K76*(1+Input!$B$36)</f>
        <v>243.81</v>
      </c>
      <c r="O76" s="47">
        <f>L76*(1+Input!$B$36)</f>
        <v>243.81</v>
      </c>
      <c r="P76" s="47">
        <f>M76*(1+Input!$B$36)</f>
        <v>256.00049999999999</v>
      </c>
      <c r="Q76" s="47">
        <f>N76*(1+Input!$B$36)</f>
        <v>256.00049999999999</v>
      </c>
      <c r="R76" s="47">
        <f>O76*(1+Input!$B$36)</f>
        <v>256.00049999999999</v>
      </c>
      <c r="S76" s="47">
        <f>P76*(1+Input!$B$36)</f>
        <v>268.80052499999999</v>
      </c>
      <c r="T76" s="47">
        <f>Q76*(1+Input!$B$36)</f>
        <v>268.80052499999999</v>
      </c>
      <c r="U76" s="47">
        <f>R76*(1+Input!$B$36)</f>
        <v>268.80052499999999</v>
      </c>
      <c r="V76" s="47">
        <f>S76*(1+Input!$B$36)</f>
        <v>282.24055125000001</v>
      </c>
      <c r="W76" s="47">
        <f>T76*(1+Input!$B$36)</f>
        <v>282.24055125000001</v>
      </c>
      <c r="X76" s="47">
        <f>U76*(1+Input!$B$36)</f>
        <v>282.24055125000001</v>
      </c>
      <c r="Y76" s="47">
        <f>V76*(1+Input!$B$36)</f>
        <v>296.35257881250004</v>
      </c>
      <c r="Z76" s="47">
        <f>W76*(1+Input!$B$36)</f>
        <v>296.35257881250004</v>
      </c>
      <c r="AA76" s="47">
        <f>X76*(1+Input!$B$36)</f>
        <v>296.35257881250004</v>
      </c>
      <c r="AB76" s="47">
        <f>Y76*(1+Input!$B$36)</f>
        <v>311.17020775312506</v>
      </c>
      <c r="AC76" s="47">
        <f>Z76*(1+Input!$B$36)</f>
        <v>311.17020775312506</v>
      </c>
      <c r="AD76" s="47">
        <f>AA76*(1+Input!$B$36)</f>
        <v>311.17020775312506</v>
      </c>
      <c r="AE76" s="47">
        <f>AB76*(1+Input!$B$36)</f>
        <v>326.72871814078133</v>
      </c>
      <c r="AF76" s="47">
        <f>AC76*(1+Input!$B$36)</f>
        <v>326.72871814078133</v>
      </c>
      <c r="AG76" s="47">
        <f>AD76*(1+Input!$B$36)</f>
        <v>326.72871814078133</v>
      </c>
      <c r="AH76" s="47">
        <f>AE76*(1+Input!$B$36)</f>
        <v>343.06515404782039</v>
      </c>
      <c r="AI76" s="47">
        <f>AF76*(1+Input!$B$36)</f>
        <v>343.06515404782039</v>
      </c>
      <c r="AJ76" s="47">
        <f>AG76*(1+Input!$B$36)</f>
        <v>343.06515404782039</v>
      </c>
      <c r="AK76" s="47" t="s">
        <v>98</v>
      </c>
    </row>
    <row r="77" spans="3:37" x14ac:dyDescent="0.25">
      <c r="E77" s="64" t="str">
        <f>Input!A170</f>
        <v xml:space="preserve">Reception 1 </v>
      </c>
      <c r="F77" s="57">
        <f>Input!B170</f>
        <v>43</v>
      </c>
      <c r="J77" s="47">
        <f>$F77*Input!$B$33*Input!$B$28*Input!$B$11</f>
        <v>232.2</v>
      </c>
      <c r="K77" s="47">
        <f>$F77*Input!$B$33*Input!$B$28*Input!$B$11</f>
        <v>232.2</v>
      </c>
      <c r="L77" s="47">
        <f>$F77*Input!$B$33*Input!$B$28*Input!$B$11</f>
        <v>232.2</v>
      </c>
      <c r="M77" s="47">
        <f>J77*(1+Input!$B$36)</f>
        <v>243.81</v>
      </c>
      <c r="N77" s="47">
        <f>K77*(1+Input!$B$36)</f>
        <v>243.81</v>
      </c>
      <c r="O77" s="47">
        <f>L77*(1+Input!$B$36)</f>
        <v>243.81</v>
      </c>
      <c r="P77" s="47">
        <f>M77*(1+Input!$B$36)</f>
        <v>256.00049999999999</v>
      </c>
      <c r="Q77" s="47">
        <f>N77*(1+Input!$B$36)</f>
        <v>256.00049999999999</v>
      </c>
      <c r="R77" s="47">
        <f>O77*(1+Input!$B$36)</f>
        <v>256.00049999999999</v>
      </c>
      <c r="S77" s="47">
        <f>P77*(1+Input!$B$36)</f>
        <v>268.80052499999999</v>
      </c>
      <c r="T77" s="47">
        <f>Q77*(1+Input!$B$36)</f>
        <v>268.80052499999999</v>
      </c>
      <c r="U77" s="47">
        <f>R77*(1+Input!$B$36)</f>
        <v>268.80052499999999</v>
      </c>
      <c r="V77" s="47">
        <f>S77*(1+Input!$B$36)</f>
        <v>282.24055125000001</v>
      </c>
      <c r="W77" s="47">
        <f>T77*(1+Input!$B$36)</f>
        <v>282.24055125000001</v>
      </c>
      <c r="X77" s="47">
        <f>U77*(1+Input!$B$36)</f>
        <v>282.24055125000001</v>
      </c>
      <c r="Y77" s="47">
        <f>V77*(1+Input!$B$36)</f>
        <v>296.35257881250004</v>
      </c>
      <c r="Z77" s="47">
        <f>W77*(1+Input!$B$36)</f>
        <v>296.35257881250004</v>
      </c>
      <c r="AA77" s="47">
        <f>X77*(1+Input!$B$36)</f>
        <v>296.35257881250004</v>
      </c>
      <c r="AB77" s="47">
        <f>Y77*(1+Input!$B$36)</f>
        <v>311.17020775312506</v>
      </c>
      <c r="AC77" s="47">
        <f>Z77*(1+Input!$B$36)</f>
        <v>311.17020775312506</v>
      </c>
      <c r="AD77" s="47">
        <f>AA77*(1+Input!$B$36)</f>
        <v>311.17020775312506</v>
      </c>
      <c r="AE77" s="47">
        <f>AB77*(1+Input!$B$36)</f>
        <v>326.72871814078133</v>
      </c>
      <c r="AF77" s="47">
        <f>AC77*(1+Input!$B$36)</f>
        <v>326.72871814078133</v>
      </c>
      <c r="AG77" s="47">
        <f>AD77*(1+Input!$B$36)</f>
        <v>326.72871814078133</v>
      </c>
      <c r="AH77" s="47">
        <f>AE77*(1+Input!$B$36)</f>
        <v>343.06515404782039</v>
      </c>
      <c r="AI77" s="47">
        <f>AF77*(1+Input!$B$36)</f>
        <v>343.06515404782039</v>
      </c>
      <c r="AJ77" s="47">
        <f>AG77*(1+Input!$B$36)</f>
        <v>343.06515404782039</v>
      </c>
      <c r="AK77" s="47" t="s">
        <v>98</v>
      </c>
    </row>
    <row r="78" spans="3:37" x14ac:dyDescent="0.25">
      <c r="E78" s="64" t="str">
        <f>Input!A171</f>
        <v xml:space="preserve">Reception 2 </v>
      </c>
      <c r="F78" s="57">
        <f>Input!B171</f>
        <v>43</v>
      </c>
      <c r="J78" s="47">
        <f>$F78*Input!$B$33*Input!$B$28*Input!$B$11</f>
        <v>232.2</v>
      </c>
      <c r="K78" s="47">
        <f>$F78*Input!$B$33*Input!$B$28*Input!$B$11</f>
        <v>232.2</v>
      </c>
      <c r="L78" s="47">
        <f>$F78*Input!$B$33*Input!$B$28*Input!$B$11</f>
        <v>232.2</v>
      </c>
      <c r="M78" s="47">
        <f>J78*(1+Input!$B$36)</f>
        <v>243.81</v>
      </c>
      <c r="N78" s="47">
        <f>K78*(1+Input!$B$36)</f>
        <v>243.81</v>
      </c>
      <c r="O78" s="47">
        <f>L78*(1+Input!$B$36)</f>
        <v>243.81</v>
      </c>
      <c r="P78" s="47">
        <f>M78*(1+Input!$B$36)</f>
        <v>256.00049999999999</v>
      </c>
      <c r="Q78" s="47">
        <f>N78*(1+Input!$B$36)</f>
        <v>256.00049999999999</v>
      </c>
      <c r="R78" s="47">
        <f>O78*(1+Input!$B$36)</f>
        <v>256.00049999999999</v>
      </c>
      <c r="S78" s="47">
        <f>P78*(1+Input!$B$36)</f>
        <v>268.80052499999999</v>
      </c>
      <c r="T78" s="47">
        <f>Q78*(1+Input!$B$36)</f>
        <v>268.80052499999999</v>
      </c>
      <c r="U78" s="47">
        <f>R78*(1+Input!$B$36)</f>
        <v>268.80052499999999</v>
      </c>
      <c r="V78" s="47">
        <f>S78*(1+Input!$B$36)</f>
        <v>282.24055125000001</v>
      </c>
      <c r="W78" s="47">
        <f>T78*(1+Input!$B$36)</f>
        <v>282.24055125000001</v>
      </c>
      <c r="X78" s="47">
        <f>U78*(1+Input!$B$36)</f>
        <v>282.24055125000001</v>
      </c>
      <c r="Y78" s="47">
        <f>V78*(1+Input!$B$36)</f>
        <v>296.35257881250004</v>
      </c>
      <c r="Z78" s="47">
        <f>W78*(1+Input!$B$36)</f>
        <v>296.35257881250004</v>
      </c>
      <c r="AA78" s="47">
        <f>X78*(1+Input!$B$36)</f>
        <v>296.35257881250004</v>
      </c>
      <c r="AB78" s="47">
        <f>Y78*(1+Input!$B$36)</f>
        <v>311.17020775312506</v>
      </c>
      <c r="AC78" s="47">
        <f>Z78*(1+Input!$B$36)</f>
        <v>311.17020775312506</v>
      </c>
      <c r="AD78" s="47">
        <f>AA78*(1+Input!$B$36)</f>
        <v>311.17020775312506</v>
      </c>
      <c r="AE78" s="47">
        <f>AB78*(1+Input!$B$36)</f>
        <v>326.72871814078133</v>
      </c>
      <c r="AF78" s="47">
        <f>AC78*(1+Input!$B$36)</f>
        <v>326.72871814078133</v>
      </c>
      <c r="AG78" s="47">
        <f>AD78*(1+Input!$B$36)</f>
        <v>326.72871814078133</v>
      </c>
      <c r="AH78" s="47">
        <f>AE78*(1+Input!$B$36)</f>
        <v>343.06515404782039</v>
      </c>
      <c r="AI78" s="47">
        <f>AF78*(1+Input!$B$36)</f>
        <v>343.06515404782039</v>
      </c>
      <c r="AJ78" s="47">
        <f>AG78*(1+Input!$B$36)</f>
        <v>343.06515404782039</v>
      </c>
      <c r="AK78" s="47" t="s">
        <v>98</v>
      </c>
    </row>
    <row r="79" spans="3:37" x14ac:dyDescent="0.25">
      <c r="E79" s="64" t="str">
        <f>Input!A172</f>
        <v>Year 1</v>
      </c>
      <c r="F79" s="57">
        <f>Input!B172</f>
        <v>43</v>
      </c>
      <c r="J79" s="47">
        <f>$F79*Input!$B$33*Input!$B$28*Input!$B$11</f>
        <v>232.2</v>
      </c>
      <c r="K79" s="47">
        <f>$F79*Input!$B$33*Input!$B$28*Input!$B$11</f>
        <v>232.2</v>
      </c>
      <c r="L79" s="47">
        <f>$F79*Input!$B$33*Input!$B$28*Input!$B$11</f>
        <v>232.2</v>
      </c>
      <c r="M79" s="47">
        <f>J79*(1+Input!$B$36)</f>
        <v>243.81</v>
      </c>
      <c r="N79" s="47">
        <f>K79*(1+Input!$B$36)</f>
        <v>243.81</v>
      </c>
      <c r="O79" s="47">
        <f>L79*(1+Input!$B$36)</f>
        <v>243.81</v>
      </c>
      <c r="P79" s="47">
        <f>M79*(1+Input!$B$36)</f>
        <v>256.00049999999999</v>
      </c>
      <c r="Q79" s="47">
        <f>N79*(1+Input!$B$36)</f>
        <v>256.00049999999999</v>
      </c>
      <c r="R79" s="47">
        <f>O79*(1+Input!$B$36)</f>
        <v>256.00049999999999</v>
      </c>
      <c r="S79" s="47">
        <f>P79*(1+Input!$B$36)</f>
        <v>268.80052499999999</v>
      </c>
      <c r="T79" s="47">
        <f>Q79*(1+Input!$B$36)</f>
        <v>268.80052499999999</v>
      </c>
      <c r="U79" s="47">
        <f>R79*(1+Input!$B$36)</f>
        <v>268.80052499999999</v>
      </c>
      <c r="V79" s="47">
        <f>S79*(1+Input!$B$36)</f>
        <v>282.24055125000001</v>
      </c>
      <c r="W79" s="47">
        <f>T79*(1+Input!$B$36)</f>
        <v>282.24055125000001</v>
      </c>
      <c r="X79" s="47">
        <f>U79*(1+Input!$B$36)</f>
        <v>282.24055125000001</v>
      </c>
      <c r="Y79" s="47">
        <f>V79*(1+Input!$B$36)</f>
        <v>296.35257881250004</v>
      </c>
      <c r="Z79" s="47">
        <f>W79*(1+Input!$B$36)</f>
        <v>296.35257881250004</v>
      </c>
      <c r="AA79" s="47">
        <f>X79*(1+Input!$B$36)</f>
        <v>296.35257881250004</v>
      </c>
      <c r="AB79" s="47">
        <f>Y79*(1+Input!$B$36)</f>
        <v>311.17020775312506</v>
      </c>
      <c r="AC79" s="47">
        <f>Z79*(1+Input!$B$36)</f>
        <v>311.17020775312506</v>
      </c>
      <c r="AD79" s="47">
        <f>AA79*(1+Input!$B$36)</f>
        <v>311.17020775312506</v>
      </c>
      <c r="AE79" s="47">
        <f>AB79*(1+Input!$B$36)</f>
        <v>326.72871814078133</v>
      </c>
      <c r="AF79" s="47">
        <f>AC79*(1+Input!$B$36)</f>
        <v>326.72871814078133</v>
      </c>
      <c r="AG79" s="47">
        <f>AD79*(1+Input!$B$36)</f>
        <v>326.72871814078133</v>
      </c>
      <c r="AH79" s="47">
        <f>AE79*(1+Input!$B$36)</f>
        <v>343.06515404782039</v>
      </c>
      <c r="AI79" s="47">
        <f>AF79*(1+Input!$B$36)</f>
        <v>343.06515404782039</v>
      </c>
      <c r="AJ79" s="47">
        <f>AG79*(1+Input!$B$36)</f>
        <v>343.06515404782039</v>
      </c>
      <c r="AK79" s="47" t="s">
        <v>98</v>
      </c>
    </row>
    <row r="80" spans="3:37" x14ac:dyDescent="0.25">
      <c r="E80" s="64" t="str">
        <f>Input!A173</f>
        <v>Year 2</v>
      </c>
      <c r="F80" s="57">
        <f>Input!B173</f>
        <v>43</v>
      </c>
      <c r="J80" s="47">
        <f>$F80*Input!$B$33*Input!$B$28*Input!$B$11</f>
        <v>232.2</v>
      </c>
      <c r="K80" s="47">
        <f>$F80*Input!$B$33*Input!$B$28*Input!$B$11</f>
        <v>232.2</v>
      </c>
      <c r="L80" s="47">
        <f>$F80*Input!$B$33*Input!$B$28*Input!$B$11</f>
        <v>232.2</v>
      </c>
      <c r="M80" s="47">
        <f>J80*(1+Input!$B$36)</f>
        <v>243.81</v>
      </c>
      <c r="N80" s="47">
        <f>K80*(1+Input!$B$36)</f>
        <v>243.81</v>
      </c>
      <c r="O80" s="47">
        <f>L80*(1+Input!$B$36)</f>
        <v>243.81</v>
      </c>
      <c r="P80" s="47">
        <f>M80*(1+Input!$B$36)</f>
        <v>256.00049999999999</v>
      </c>
      <c r="Q80" s="47">
        <f>N80*(1+Input!$B$36)</f>
        <v>256.00049999999999</v>
      </c>
      <c r="R80" s="47">
        <f>O80*(1+Input!$B$36)</f>
        <v>256.00049999999999</v>
      </c>
      <c r="S80" s="47">
        <f>P80*(1+Input!$B$36)</f>
        <v>268.80052499999999</v>
      </c>
      <c r="T80" s="47">
        <f>Q80*(1+Input!$B$36)</f>
        <v>268.80052499999999</v>
      </c>
      <c r="U80" s="47">
        <f>R80*(1+Input!$B$36)</f>
        <v>268.80052499999999</v>
      </c>
      <c r="V80" s="47">
        <f>S80*(1+Input!$B$36)</f>
        <v>282.24055125000001</v>
      </c>
      <c r="W80" s="47">
        <f>T80*(1+Input!$B$36)</f>
        <v>282.24055125000001</v>
      </c>
      <c r="X80" s="47">
        <f>U80*(1+Input!$B$36)</f>
        <v>282.24055125000001</v>
      </c>
      <c r="Y80" s="47">
        <f>V80*(1+Input!$B$36)</f>
        <v>296.35257881250004</v>
      </c>
      <c r="Z80" s="47">
        <f>W80*(1+Input!$B$36)</f>
        <v>296.35257881250004</v>
      </c>
      <c r="AA80" s="47">
        <f>X80*(1+Input!$B$36)</f>
        <v>296.35257881250004</v>
      </c>
      <c r="AB80" s="47">
        <f>Y80*(1+Input!$B$36)</f>
        <v>311.17020775312506</v>
      </c>
      <c r="AC80" s="47">
        <f>Z80*(1+Input!$B$36)</f>
        <v>311.17020775312506</v>
      </c>
      <c r="AD80" s="47">
        <f>AA80*(1+Input!$B$36)</f>
        <v>311.17020775312506</v>
      </c>
      <c r="AE80" s="47">
        <f>AB80*(1+Input!$B$36)</f>
        <v>326.72871814078133</v>
      </c>
      <c r="AF80" s="47">
        <f>AC80*(1+Input!$B$36)</f>
        <v>326.72871814078133</v>
      </c>
      <c r="AG80" s="47">
        <f>AD80*(1+Input!$B$36)</f>
        <v>326.72871814078133</v>
      </c>
      <c r="AH80" s="47">
        <f>AE80*(1+Input!$B$36)</f>
        <v>343.06515404782039</v>
      </c>
      <c r="AI80" s="47">
        <f>AF80*(1+Input!$B$36)</f>
        <v>343.06515404782039</v>
      </c>
      <c r="AJ80" s="47">
        <f>AG80*(1+Input!$B$36)</f>
        <v>343.06515404782039</v>
      </c>
      <c r="AK80" s="47" t="s">
        <v>98</v>
      </c>
    </row>
    <row r="81" spans="3:37" x14ac:dyDescent="0.25">
      <c r="E81" s="64" t="str">
        <f>Input!A174</f>
        <v>Year 3</v>
      </c>
      <c r="F81" s="57">
        <f>Input!B174</f>
        <v>43</v>
      </c>
      <c r="J81" s="47">
        <f>$F81*Input!$B$33*Input!$B$28*Input!$B$11</f>
        <v>232.2</v>
      </c>
      <c r="K81" s="47">
        <f>$F81*Input!$B$33*Input!$B$28*Input!$B$11</f>
        <v>232.2</v>
      </c>
      <c r="L81" s="47">
        <f>$F81*Input!$B$33*Input!$B$28*Input!$B$11</f>
        <v>232.2</v>
      </c>
      <c r="M81" s="47">
        <f>J81*(1+Input!$B$36)</f>
        <v>243.81</v>
      </c>
      <c r="N81" s="47">
        <f>K81*(1+Input!$B$36)</f>
        <v>243.81</v>
      </c>
      <c r="O81" s="47">
        <f>L81*(1+Input!$B$36)</f>
        <v>243.81</v>
      </c>
      <c r="P81" s="47">
        <f>M81*(1+Input!$B$36)</f>
        <v>256.00049999999999</v>
      </c>
      <c r="Q81" s="47">
        <f>N81*(1+Input!$B$36)</f>
        <v>256.00049999999999</v>
      </c>
      <c r="R81" s="47">
        <f>O81*(1+Input!$B$36)</f>
        <v>256.00049999999999</v>
      </c>
      <c r="S81" s="47">
        <f>P81*(1+Input!$B$36)</f>
        <v>268.80052499999999</v>
      </c>
      <c r="T81" s="47">
        <f>Q81*(1+Input!$B$36)</f>
        <v>268.80052499999999</v>
      </c>
      <c r="U81" s="47">
        <f>R81*(1+Input!$B$36)</f>
        <v>268.80052499999999</v>
      </c>
      <c r="V81" s="47">
        <f>S81*(1+Input!$B$36)</f>
        <v>282.24055125000001</v>
      </c>
      <c r="W81" s="47">
        <f>T81*(1+Input!$B$36)</f>
        <v>282.24055125000001</v>
      </c>
      <c r="X81" s="47">
        <f>U81*(1+Input!$B$36)</f>
        <v>282.24055125000001</v>
      </c>
      <c r="Y81" s="47">
        <f>V81*(1+Input!$B$36)</f>
        <v>296.35257881250004</v>
      </c>
      <c r="Z81" s="47">
        <f>W81*(1+Input!$B$36)</f>
        <v>296.35257881250004</v>
      </c>
      <c r="AA81" s="47">
        <f>X81*(1+Input!$B$36)</f>
        <v>296.35257881250004</v>
      </c>
      <c r="AB81" s="47">
        <f>Y81*(1+Input!$B$36)</f>
        <v>311.17020775312506</v>
      </c>
      <c r="AC81" s="47">
        <f>Z81*(1+Input!$B$36)</f>
        <v>311.17020775312506</v>
      </c>
      <c r="AD81" s="47">
        <f>AA81*(1+Input!$B$36)</f>
        <v>311.17020775312506</v>
      </c>
      <c r="AE81" s="47">
        <f>AB81*(1+Input!$B$36)</f>
        <v>326.72871814078133</v>
      </c>
      <c r="AF81" s="47">
        <f>AC81*(1+Input!$B$36)</f>
        <v>326.72871814078133</v>
      </c>
      <c r="AG81" s="47">
        <f>AD81*(1+Input!$B$36)</f>
        <v>326.72871814078133</v>
      </c>
      <c r="AH81" s="47">
        <f>AE81*(1+Input!$B$36)</f>
        <v>343.06515404782039</v>
      </c>
      <c r="AI81" s="47">
        <f>AF81*(1+Input!$B$36)</f>
        <v>343.06515404782039</v>
      </c>
      <c r="AJ81" s="47">
        <f>AG81*(1+Input!$B$36)</f>
        <v>343.06515404782039</v>
      </c>
      <c r="AK81" s="47" t="s">
        <v>98</v>
      </c>
    </row>
    <row r="82" spans="3:37" x14ac:dyDescent="0.25">
      <c r="E82" s="64" t="str">
        <f>Input!A175</f>
        <v>Year 4</v>
      </c>
      <c r="F82" s="57">
        <f>Input!B175</f>
        <v>43</v>
      </c>
      <c r="J82" s="47">
        <f>$F82*Input!$B$33*Input!$B$28*Input!$B$11</f>
        <v>232.2</v>
      </c>
      <c r="K82" s="47">
        <f>$F82*Input!$B$33*Input!$B$28*Input!$B$11</f>
        <v>232.2</v>
      </c>
      <c r="L82" s="47">
        <f>$F82*Input!$B$33*Input!$B$28*Input!$B$11</f>
        <v>232.2</v>
      </c>
      <c r="M82" s="47">
        <f>J82*(1+Input!$B$36)</f>
        <v>243.81</v>
      </c>
      <c r="N82" s="47">
        <f>K82*(1+Input!$B$36)</f>
        <v>243.81</v>
      </c>
      <c r="O82" s="47">
        <f>L82*(1+Input!$B$36)</f>
        <v>243.81</v>
      </c>
      <c r="P82" s="47">
        <f>M82*(1+Input!$B$36)</f>
        <v>256.00049999999999</v>
      </c>
      <c r="Q82" s="47">
        <f>N82*(1+Input!$B$36)</f>
        <v>256.00049999999999</v>
      </c>
      <c r="R82" s="47">
        <f>O82*(1+Input!$B$36)</f>
        <v>256.00049999999999</v>
      </c>
      <c r="S82" s="47">
        <f>P82*(1+Input!$B$36)</f>
        <v>268.80052499999999</v>
      </c>
      <c r="T82" s="47">
        <f>Q82*(1+Input!$B$36)</f>
        <v>268.80052499999999</v>
      </c>
      <c r="U82" s="47">
        <f>R82*(1+Input!$B$36)</f>
        <v>268.80052499999999</v>
      </c>
      <c r="V82" s="47">
        <f>S82*(1+Input!$B$36)</f>
        <v>282.24055125000001</v>
      </c>
      <c r="W82" s="47">
        <f>T82*(1+Input!$B$36)</f>
        <v>282.24055125000001</v>
      </c>
      <c r="X82" s="47">
        <f>U82*(1+Input!$B$36)</f>
        <v>282.24055125000001</v>
      </c>
      <c r="Y82" s="47">
        <f>V82*(1+Input!$B$36)</f>
        <v>296.35257881250004</v>
      </c>
      <c r="Z82" s="47">
        <f>W82*(1+Input!$B$36)</f>
        <v>296.35257881250004</v>
      </c>
      <c r="AA82" s="47">
        <f>X82*(1+Input!$B$36)</f>
        <v>296.35257881250004</v>
      </c>
      <c r="AB82" s="47">
        <f>Y82*(1+Input!$B$36)</f>
        <v>311.17020775312506</v>
      </c>
      <c r="AC82" s="47">
        <f>Z82*(1+Input!$B$36)</f>
        <v>311.17020775312506</v>
      </c>
      <c r="AD82" s="47">
        <f>AA82*(1+Input!$B$36)</f>
        <v>311.17020775312506</v>
      </c>
      <c r="AE82" s="47">
        <f>AB82*(1+Input!$B$36)</f>
        <v>326.72871814078133</v>
      </c>
      <c r="AF82" s="47">
        <f>AC82*(1+Input!$B$36)</f>
        <v>326.72871814078133</v>
      </c>
      <c r="AG82" s="47">
        <f>AD82*(1+Input!$B$36)</f>
        <v>326.72871814078133</v>
      </c>
      <c r="AH82" s="47">
        <f>AE82*(1+Input!$B$36)</f>
        <v>343.06515404782039</v>
      </c>
      <c r="AI82" s="47">
        <f>AF82*(1+Input!$B$36)</f>
        <v>343.06515404782039</v>
      </c>
      <c r="AJ82" s="47">
        <f>AG82*(1+Input!$B$36)</f>
        <v>343.06515404782039</v>
      </c>
      <c r="AK82" s="47" t="s">
        <v>98</v>
      </c>
    </row>
    <row r="83" spans="3:37" x14ac:dyDescent="0.25">
      <c r="E83" s="64" t="str">
        <f>Input!A176</f>
        <v>Year 5</v>
      </c>
      <c r="F83" s="57">
        <f>Input!B176</f>
        <v>43</v>
      </c>
      <c r="J83" s="47">
        <f>$F83*Input!$B$33*Input!$B$28*Input!$B$11</f>
        <v>232.2</v>
      </c>
      <c r="K83" s="47">
        <f>$F83*Input!$B$33*Input!$B$28*Input!$B$11</f>
        <v>232.2</v>
      </c>
      <c r="L83" s="47">
        <f>$F83*Input!$B$33*Input!$B$28*Input!$B$11</f>
        <v>232.2</v>
      </c>
      <c r="M83" s="47">
        <f>J83*(1+Input!$B$36)</f>
        <v>243.81</v>
      </c>
      <c r="N83" s="47">
        <f>K83*(1+Input!$B$36)</f>
        <v>243.81</v>
      </c>
      <c r="O83" s="47">
        <f>L83*(1+Input!$B$36)</f>
        <v>243.81</v>
      </c>
      <c r="P83" s="47">
        <f>M83*(1+Input!$B$36)</f>
        <v>256.00049999999999</v>
      </c>
      <c r="Q83" s="47">
        <f>N83*(1+Input!$B$36)</f>
        <v>256.00049999999999</v>
      </c>
      <c r="R83" s="47">
        <f>O83*(1+Input!$B$36)</f>
        <v>256.00049999999999</v>
      </c>
      <c r="S83" s="47">
        <f>P83*(1+Input!$B$36)</f>
        <v>268.80052499999999</v>
      </c>
      <c r="T83" s="47">
        <f>Q83*(1+Input!$B$36)</f>
        <v>268.80052499999999</v>
      </c>
      <c r="U83" s="47">
        <f>R83*(1+Input!$B$36)</f>
        <v>268.80052499999999</v>
      </c>
      <c r="V83" s="47">
        <f>S83*(1+Input!$B$36)</f>
        <v>282.24055125000001</v>
      </c>
      <c r="W83" s="47">
        <f>T83*(1+Input!$B$36)</f>
        <v>282.24055125000001</v>
      </c>
      <c r="X83" s="47">
        <f>U83*(1+Input!$B$36)</f>
        <v>282.24055125000001</v>
      </c>
      <c r="Y83" s="47">
        <f>V83*(1+Input!$B$36)</f>
        <v>296.35257881250004</v>
      </c>
      <c r="Z83" s="47">
        <f>W83*(1+Input!$B$36)</f>
        <v>296.35257881250004</v>
      </c>
      <c r="AA83" s="47">
        <f>X83*(1+Input!$B$36)</f>
        <v>296.35257881250004</v>
      </c>
      <c r="AB83" s="47">
        <f>Y83*(1+Input!$B$36)</f>
        <v>311.17020775312506</v>
      </c>
      <c r="AC83" s="47">
        <f>Z83*(1+Input!$B$36)</f>
        <v>311.17020775312506</v>
      </c>
      <c r="AD83" s="47">
        <f>AA83*(1+Input!$B$36)</f>
        <v>311.17020775312506</v>
      </c>
      <c r="AE83" s="47">
        <f>AB83*(1+Input!$B$36)</f>
        <v>326.72871814078133</v>
      </c>
      <c r="AF83" s="47">
        <f>AC83*(1+Input!$B$36)</f>
        <v>326.72871814078133</v>
      </c>
      <c r="AG83" s="47">
        <f>AD83*(1+Input!$B$36)</f>
        <v>326.72871814078133</v>
      </c>
      <c r="AH83" s="47">
        <f>AE83*(1+Input!$B$36)</f>
        <v>343.06515404782039</v>
      </c>
      <c r="AI83" s="47">
        <f>AF83*(1+Input!$B$36)</f>
        <v>343.06515404782039</v>
      </c>
      <c r="AJ83" s="47">
        <f>AG83*(1+Input!$B$36)</f>
        <v>343.06515404782039</v>
      </c>
      <c r="AK83" s="47" t="s">
        <v>98</v>
      </c>
    </row>
    <row r="84" spans="3:37" x14ac:dyDescent="0.25">
      <c r="E84" s="64" t="str">
        <f>Input!A177</f>
        <v>Year 6</v>
      </c>
      <c r="F84" s="57">
        <f>Input!B177</f>
        <v>43</v>
      </c>
      <c r="J84" s="47">
        <f>$F84*Input!$B$33*Input!$B$28*Input!$B$11</f>
        <v>232.2</v>
      </c>
      <c r="K84" s="47">
        <f>$F84*Input!$B$33*Input!$B$28*Input!$B$11</f>
        <v>232.2</v>
      </c>
      <c r="L84" s="47">
        <f>$F84*Input!$B$33*Input!$B$28*Input!$B$11</f>
        <v>232.2</v>
      </c>
      <c r="M84" s="47">
        <f>J84*(1+Input!$B$36)</f>
        <v>243.81</v>
      </c>
      <c r="N84" s="47">
        <f>K84*(1+Input!$B$36)</f>
        <v>243.81</v>
      </c>
      <c r="O84" s="47">
        <f>L84*(1+Input!$B$36)</f>
        <v>243.81</v>
      </c>
      <c r="P84" s="47">
        <f>M84*(1+Input!$B$36)</f>
        <v>256.00049999999999</v>
      </c>
      <c r="Q84" s="47">
        <f>N84*(1+Input!$B$36)</f>
        <v>256.00049999999999</v>
      </c>
      <c r="R84" s="47">
        <f>O84*(1+Input!$B$36)</f>
        <v>256.00049999999999</v>
      </c>
      <c r="S84" s="47">
        <f>P84*(1+Input!$B$36)</f>
        <v>268.80052499999999</v>
      </c>
      <c r="T84" s="47">
        <f>Q84*(1+Input!$B$36)</f>
        <v>268.80052499999999</v>
      </c>
      <c r="U84" s="47">
        <f>R84*(1+Input!$B$36)</f>
        <v>268.80052499999999</v>
      </c>
      <c r="V84" s="47">
        <f>S84*(1+Input!$B$36)</f>
        <v>282.24055125000001</v>
      </c>
      <c r="W84" s="47">
        <f>T84*(1+Input!$B$36)</f>
        <v>282.24055125000001</v>
      </c>
      <c r="X84" s="47">
        <f>U84*(1+Input!$B$36)</f>
        <v>282.24055125000001</v>
      </c>
      <c r="Y84" s="47">
        <f>V84*(1+Input!$B$36)</f>
        <v>296.35257881250004</v>
      </c>
      <c r="Z84" s="47">
        <f>W84*(1+Input!$B$36)</f>
        <v>296.35257881250004</v>
      </c>
      <c r="AA84" s="47">
        <f>X84*(1+Input!$B$36)</f>
        <v>296.35257881250004</v>
      </c>
      <c r="AB84" s="47">
        <f>Y84*(1+Input!$B$36)</f>
        <v>311.17020775312506</v>
      </c>
      <c r="AC84" s="47">
        <f>Z84*(1+Input!$B$36)</f>
        <v>311.17020775312506</v>
      </c>
      <c r="AD84" s="47">
        <f>AA84*(1+Input!$B$36)</f>
        <v>311.17020775312506</v>
      </c>
      <c r="AE84" s="47">
        <f>AB84*(1+Input!$B$36)</f>
        <v>326.72871814078133</v>
      </c>
      <c r="AF84" s="47">
        <f>AC84*(1+Input!$B$36)</f>
        <v>326.72871814078133</v>
      </c>
      <c r="AG84" s="47">
        <f>AD84*(1+Input!$B$36)</f>
        <v>326.72871814078133</v>
      </c>
      <c r="AH84" s="47">
        <f>AE84*(1+Input!$B$36)</f>
        <v>343.06515404782039</v>
      </c>
      <c r="AI84" s="47">
        <f>AF84*(1+Input!$B$36)</f>
        <v>343.06515404782039</v>
      </c>
      <c r="AJ84" s="47">
        <f>AG84*(1+Input!$B$36)</f>
        <v>343.06515404782039</v>
      </c>
      <c r="AK84" s="47" t="s">
        <v>98</v>
      </c>
    </row>
    <row r="85" spans="3:37" x14ac:dyDescent="0.25">
      <c r="E85" s="64" t="str">
        <f>Input!A178</f>
        <v>Year 7</v>
      </c>
      <c r="F85" s="57">
        <f>Input!B178</f>
        <v>43</v>
      </c>
      <c r="J85" s="47">
        <f>$F85*Input!$B$33*Input!$B$28*Input!$B$11</f>
        <v>232.2</v>
      </c>
      <c r="K85" s="47">
        <f>$F85*Input!$B$33*Input!$B$28*Input!$B$11</f>
        <v>232.2</v>
      </c>
      <c r="L85" s="47">
        <f>$F85*Input!$B$33*Input!$B$28*Input!$B$11</f>
        <v>232.2</v>
      </c>
      <c r="M85" s="47">
        <f>J85*(1+Input!$B$36)</f>
        <v>243.81</v>
      </c>
      <c r="N85" s="47">
        <f>K85*(1+Input!$B$36)</f>
        <v>243.81</v>
      </c>
      <c r="O85" s="47">
        <f>L85*(1+Input!$B$36)</f>
        <v>243.81</v>
      </c>
      <c r="P85" s="47">
        <f>M85*(1+Input!$B$36)</f>
        <v>256.00049999999999</v>
      </c>
      <c r="Q85" s="47">
        <f>N85*(1+Input!$B$36)</f>
        <v>256.00049999999999</v>
      </c>
      <c r="R85" s="47">
        <f>O85*(1+Input!$B$36)</f>
        <v>256.00049999999999</v>
      </c>
      <c r="S85" s="47">
        <f>P85*(1+Input!$B$36)</f>
        <v>268.80052499999999</v>
      </c>
      <c r="T85" s="47">
        <f>Q85*(1+Input!$B$36)</f>
        <v>268.80052499999999</v>
      </c>
      <c r="U85" s="47">
        <f>R85*(1+Input!$B$36)</f>
        <v>268.80052499999999</v>
      </c>
      <c r="V85" s="47">
        <f>S85*(1+Input!$B$36)</f>
        <v>282.24055125000001</v>
      </c>
      <c r="W85" s="47">
        <f>T85*(1+Input!$B$36)</f>
        <v>282.24055125000001</v>
      </c>
      <c r="X85" s="47">
        <f>U85*(1+Input!$B$36)</f>
        <v>282.24055125000001</v>
      </c>
      <c r="Y85" s="47">
        <f>V85*(1+Input!$B$36)</f>
        <v>296.35257881250004</v>
      </c>
      <c r="Z85" s="47">
        <f>W85*(1+Input!$B$36)</f>
        <v>296.35257881250004</v>
      </c>
      <c r="AA85" s="47">
        <f>X85*(1+Input!$B$36)</f>
        <v>296.35257881250004</v>
      </c>
      <c r="AB85" s="47">
        <f>Y85*(1+Input!$B$36)</f>
        <v>311.17020775312506</v>
      </c>
      <c r="AC85" s="47">
        <f>Z85*(1+Input!$B$36)</f>
        <v>311.17020775312506</v>
      </c>
      <c r="AD85" s="47">
        <f>AA85*(1+Input!$B$36)</f>
        <v>311.17020775312506</v>
      </c>
      <c r="AE85" s="47">
        <f>AB85*(1+Input!$B$36)</f>
        <v>326.72871814078133</v>
      </c>
      <c r="AF85" s="47">
        <f>AC85*(1+Input!$B$36)</f>
        <v>326.72871814078133</v>
      </c>
      <c r="AG85" s="47">
        <f>AD85*(1+Input!$B$36)</f>
        <v>326.72871814078133</v>
      </c>
      <c r="AH85" s="47">
        <f>AE85*(1+Input!$B$36)</f>
        <v>343.06515404782039</v>
      </c>
      <c r="AI85" s="47">
        <f>AF85*(1+Input!$B$36)</f>
        <v>343.06515404782039</v>
      </c>
      <c r="AJ85" s="47">
        <f>AG85*(1+Input!$B$36)</f>
        <v>343.06515404782039</v>
      </c>
      <c r="AK85" s="47" t="s">
        <v>98</v>
      </c>
    </row>
    <row r="86" spans="3:37" x14ac:dyDescent="0.25">
      <c r="E86" s="64" t="str">
        <f>Input!A179</f>
        <v>Year 8</v>
      </c>
      <c r="F86" s="57">
        <f>Input!B179</f>
        <v>43</v>
      </c>
      <c r="J86" s="47">
        <f>$F86*Input!$B$33*Input!$B$28*Input!$B$11</f>
        <v>232.2</v>
      </c>
      <c r="K86" s="47">
        <f>$F86*Input!$B$33*Input!$B$28*Input!$B$11</f>
        <v>232.2</v>
      </c>
      <c r="L86" s="47">
        <f>$F86*Input!$B$33*Input!$B$28*Input!$B$11</f>
        <v>232.2</v>
      </c>
      <c r="M86" s="47">
        <f>J86*(1+Input!$B$36)</f>
        <v>243.81</v>
      </c>
      <c r="N86" s="47">
        <f>K86*(1+Input!$B$36)</f>
        <v>243.81</v>
      </c>
      <c r="O86" s="47">
        <f>L86*(1+Input!$B$36)</f>
        <v>243.81</v>
      </c>
      <c r="P86" s="47">
        <f>M86*(1+Input!$B$36)</f>
        <v>256.00049999999999</v>
      </c>
      <c r="Q86" s="47">
        <f>N86*(1+Input!$B$36)</f>
        <v>256.00049999999999</v>
      </c>
      <c r="R86" s="47">
        <f>O86*(1+Input!$B$36)</f>
        <v>256.00049999999999</v>
      </c>
      <c r="S86" s="47">
        <f>P86*(1+Input!$B$36)</f>
        <v>268.80052499999999</v>
      </c>
      <c r="T86" s="47">
        <f>Q86*(1+Input!$B$36)</f>
        <v>268.80052499999999</v>
      </c>
      <c r="U86" s="47">
        <f>R86*(1+Input!$B$36)</f>
        <v>268.80052499999999</v>
      </c>
      <c r="V86" s="47">
        <f>S86*(1+Input!$B$36)</f>
        <v>282.24055125000001</v>
      </c>
      <c r="W86" s="47">
        <f>T86*(1+Input!$B$36)</f>
        <v>282.24055125000001</v>
      </c>
      <c r="X86" s="47">
        <f>U86*(1+Input!$B$36)</f>
        <v>282.24055125000001</v>
      </c>
      <c r="Y86" s="47">
        <f>V86*(1+Input!$B$36)</f>
        <v>296.35257881250004</v>
      </c>
      <c r="Z86" s="47">
        <f>W86*(1+Input!$B$36)</f>
        <v>296.35257881250004</v>
      </c>
      <c r="AA86" s="47">
        <f>X86*(1+Input!$B$36)</f>
        <v>296.35257881250004</v>
      </c>
      <c r="AB86" s="47">
        <f>Y86*(1+Input!$B$36)</f>
        <v>311.17020775312506</v>
      </c>
      <c r="AC86" s="47">
        <f>Z86*(1+Input!$B$36)</f>
        <v>311.17020775312506</v>
      </c>
      <c r="AD86" s="47">
        <f>AA86*(1+Input!$B$36)</f>
        <v>311.17020775312506</v>
      </c>
      <c r="AE86" s="47">
        <f>AB86*(1+Input!$B$36)</f>
        <v>326.72871814078133</v>
      </c>
      <c r="AF86" s="47">
        <f>AC86*(1+Input!$B$36)</f>
        <v>326.72871814078133</v>
      </c>
      <c r="AG86" s="47">
        <f>AD86*(1+Input!$B$36)</f>
        <v>326.72871814078133</v>
      </c>
      <c r="AH86" s="47">
        <f>AE86*(1+Input!$B$36)</f>
        <v>343.06515404782039</v>
      </c>
      <c r="AI86" s="47">
        <f>AF86*(1+Input!$B$36)</f>
        <v>343.06515404782039</v>
      </c>
      <c r="AJ86" s="47">
        <f>AG86*(1+Input!$B$36)</f>
        <v>343.06515404782039</v>
      </c>
      <c r="AK86" s="47" t="s">
        <v>98</v>
      </c>
    </row>
    <row r="87" spans="3:37" x14ac:dyDescent="0.25">
      <c r="E87" s="64" t="str">
        <f>Input!A180</f>
        <v>Year 9</v>
      </c>
      <c r="F87" s="57">
        <f>Input!B180</f>
        <v>43</v>
      </c>
      <c r="J87" s="47">
        <f>$F87*Input!$B$33*Input!$B$28*Input!$B$11</f>
        <v>232.2</v>
      </c>
      <c r="K87" s="47">
        <f>$F87*Input!$B$33*Input!$B$28*Input!$B$11</f>
        <v>232.2</v>
      </c>
      <c r="L87" s="47">
        <f>$F87*Input!$B$33*Input!$B$28*Input!$B$11</f>
        <v>232.2</v>
      </c>
      <c r="M87" s="47">
        <f>J87*(1+Input!$B$36)</f>
        <v>243.81</v>
      </c>
      <c r="N87" s="47">
        <f>K87*(1+Input!$B$36)</f>
        <v>243.81</v>
      </c>
      <c r="O87" s="47">
        <f>L87*(1+Input!$B$36)</f>
        <v>243.81</v>
      </c>
      <c r="P87" s="47">
        <f>M87*(1+Input!$B$36)</f>
        <v>256.00049999999999</v>
      </c>
      <c r="Q87" s="47">
        <f>N87*(1+Input!$B$36)</f>
        <v>256.00049999999999</v>
      </c>
      <c r="R87" s="47">
        <f>O87*(1+Input!$B$36)</f>
        <v>256.00049999999999</v>
      </c>
      <c r="S87" s="47">
        <f>P87*(1+Input!$B$36)</f>
        <v>268.80052499999999</v>
      </c>
      <c r="T87" s="47">
        <f>Q87*(1+Input!$B$36)</f>
        <v>268.80052499999999</v>
      </c>
      <c r="U87" s="47">
        <f>R87*(1+Input!$B$36)</f>
        <v>268.80052499999999</v>
      </c>
      <c r="V87" s="47">
        <f>S87*(1+Input!$B$36)</f>
        <v>282.24055125000001</v>
      </c>
      <c r="W87" s="47">
        <f>T87*(1+Input!$B$36)</f>
        <v>282.24055125000001</v>
      </c>
      <c r="X87" s="47">
        <f>U87*(1+Input!$B$36)</f>
        <v>282.24055125000001</v>
      </c>
      <c r="Y87" s="47">
        <f>V87*(1+Input!$B$36)</f>
        <v>296.35257881250004</v>
      </c>
      <c r="Z87" s="47">
        <f>W87*(1+Input!$B$36)</f>
        <v>296.35257881250004</v>
      </c>
      <c r="AA87" s="47">
        <f>X87*(1+Input!$B$36)</f>
        <v>296.35257881250004</v>
      </c>
      <c r="AB87" s="47">
        <f>Y87*(1+Input!$B$36)</f>
        <v>311.17020775312506</v>
      </c>
      <c r="AC87" s="47">
        <f>Z87*(1+Input!$B$36)</f>
        <v>311.17020775312506</v>
      </c>
      <c r="AD87" s="47">
        <f>AA87*(1+Input!$B$36)</f>
        <v>311.17020775312506</v>
      </c>
      <c r="AE87" s="47">
        <f>AB87*(1+Input!$B$36)</f>
        <v>326.72871814078133</v>
      </c>
      <c r="AF87" s="47">
        <f>AC87*(1+Input!$B$36)</f>
        <v>326.72871814078133</v>
      </c>
      <c r="AG87" s="47">
        <f>AD87*(1+Input!$B$36)</f>
        <v>326.72871814078133</v>
      </c>
      <c r="AH87" s="47">
        <f>AE87*(1+Input!$B$36)</f>
        <v>343.06515404782039</v>
      </c>
      <c r="AI87" s="47">
        <f>AF87*(1+Input!$B$36)</f>
        <v>343.06515404782039</v>
      </c>
      <c r="AJ87" s="47">
        <f>AG87*(1+Input!$B$36)</f>
        <v>343.06515404782039</v>
      </c>
      <c r="AK87" s="47" t="s">
        <v>98</v>
      </c>
    </row>
    <row r="88" spans="3:37" x14ac:dyDescent="0.25">
      <c r="E88" s="64" t="str">
        <f>Input!A181</f>
        <v>Year 10</v>
      </c>
      <c r="F88" s="57">
        <f>Input!B181</f>
        <v>43</v>
      </c>
      <c r="J88" s="47">
        <f>$F88*Input!$B$33*Input!$B$28*Input!$B$11</f>
        <v>232.2</v>
      </c>
      <c r="K88" s="47">
        <f>$F88*Input!$B$33*Input!$B$28*Input!$B$11</f>
        <v>232.2</v>
      </c>
      <c r="L88" s="47">
        <f>$F88*Input!$B$33*Input!$B$28*Input!$B$11</f>
        <v>232.2</v>
      </c>
      <c r="M88" s="47">
        <f>J88*(1+Input!$B$36)</f>
        <v>243.81</v>
      </c>
      <c r="N88" s="47">
        <f>K88*(1+Input!$B$36)</f>
        <v>243.81</v>
      </c>
      <c r="O88" s="47">
        <f>L88*(1+Input!$B$36)</f>
        <v>243.81</v>
      </c>
      <c r="P88" s="47">
        <f>M88*(1+Input!$B$36)</f>
        <v>256.00049999999999</v>
      </c>
      <c r="Q88" s="47">
        <f>N88*(1+Input!$B$36)</f>
        <v>256.00049999999999</v>
      </c>
      <c r="R88" s="47">
        <f>O88*(1+Input!$B$36)</f>
        <v>256.00049999999999</v>
      </c>
      <c r="S88" s="47">
        <f>P88*(1+Input!$B$36)</f>
        <v>268.80052499999999</v>
      </c>
      <c r="T88" s="47">
        <f>Q88*(1+Input!$B$36)</f>
        <v>268.80052499999999</v>
      </c>
      <c r="U88" s="47">
        <f>R88*(1+Input!$B$36)</f>
        <v>268.80052499999999</v>
      </c>
      <c r="V88" s="47">
        <f>S88*(1+Input!$B$36)</f>
        <v>282.24055125000001</v>
      </c>
      <c r="W88" s="47">
        <f>T88*(1+Input!$B$36)</f>
        <v>282.24055125000001</v>
      </c>
      <c r="X88" s="47">
        <f>U88*(1+Input!$B$36)</f>
        <v>282.24055125000001</v>
      </c>
      <c r="Y88" s="47">
        <f>V88*(1+Input!$B$36)</f>
        <v>296.35257881250004</v>
      </c>
      <c r="Z88" s="47">
        <f>W88*(1+Input!$B$36)</f>
        <v>296.35257881250004</v>
      </c>
      <c r="AA88" s="47">
        <f>X88*(1+Input!$B$36)</f>
        <v>296.35257881250004</v>
      </c>
      <c r="AB88" s="47">
        <f>Y88*(1+Input!$B$36)</f>
        <v>311.17020775312506</v>
      </c>
      <c r="AC88" s="47">
        <f>Z88*(1+Input!$B$36)</f>
        <v>311.17020775312506</v>
      </c>
      <c r="AD88" s="47">
        <f>AA88*(1+Input!$B$36)</f>
        <v>311.17020775312506</v>
      </c>
      <c r="AE88" s="47">
        <f>AB88*(1+Input!$B$36)</f>
        <v>326.72871814078133</v>
      </c>
      <c r="AF88" s="47">
        <f>AC88*(1+Input!$B$36)</f>
        <v>326.72871814078133</v>
      </c>
      <c r="AG88" s="47">
        <f>AD88*(1+Input!$B$36)</f>
        <v>326.72871814078133</v>
      </c>
      <c r="AH88" s="47">
        <f>AE88*(1+Input!$B$36)</f>
        <v>343.06515404782039</v>
      </c>
      <c r="AI88" s="47">
        <f>AF88*(1+Input!$B$36)</f>
        <v>343.06515404782039</v>
      </c>
      <c r="AJ88" s="47">
        <f>AG88*(1+Input!$B$36)</f>
        <v>343.06515404782039</v>
      </c>
      <c r="AK88" s="47" t="s">
        <v>98</v>
      </c>
    </row>
    <row r="89" spans="3:37" x14ac:dyDescent="0.25">
      <c r="E89" s="64" t="str">
        <f>Input!A182</f>
        <v>Year 11</v>
      </c>
      <c r="F89" s="57">
        <f>Input!B182</f>
        <v>43</v>
      </c>
      <c r="J89" s="47">
        <f>$F89*Input!$B$33*Input!$B$28*Input!$B$11</f>
        <v>232.2</v>
      </c>
      <c r="K89" s="47">
        <f>$F89*Input!$B$33*Input!$B$28*Input!$B$11</f>
        <v>232.2</v>
      </c>
      <c r="L89" s="47">
        <f>$F89*Input!$B$33*Input!$B$28*Input!$B$11</f>
        <v>232.2</v>
      </c>
      <c r="M89" s="47">
        <f>J89*(1+Input!$B$36)</f>
        <v>243.81</v>
      </c>
      <c r="N89" s="47">
        <f>K89*(1+Input!$B$36)</f>
        <v>243.81</v>
      </c>
      <c r="O89" s="47">
        <f>L89*(1+Input!$B$36)</f>
        <v>243.81</v>
      </c>
      <c r="P89" s="47">
        <f>M89*(1+Input!$B$36)</f>
        <v>256.00049999999999</v>
      </c>
      <c r="Q89" s="47">
        <f>N89*(1+Input!$B$36)</f>
        <v>256.00049999999999</v>
      </c>
      <c r="R89" s="47">
        <f>O89*(1+Input!$B$36)</f>
        <v>256.00049999999999</v>
      </c>
      <c r="S89" s="47">
        <f>P89*(1+Input!$B$36)</f>
        <v>268.80052499999999</v>
      </c>
      <c r="T89" s="47">
        <f>Q89*(1+Input!$B$36)</f>
        <v>268.80052499999999</v>
      </c>
      <c r="U89" s="47">
        <f>R89*(1+Input!$B$36)</f>
        <v>268.80052499999999</v>
      </c>
      <c r="V89" s="47">
        <f>S89*(1+Input!$B$36)</f>
        <v>282.24055125000001</v>
      </c>
      <c r="W89" s="47">
        <f>T89*(1+Input!$B$36)</f>
        <v>282.24055125000001</v>
      </c>
      <c r="X89" s="47">
        <f>U89*(1+Input!$B$36)</f>
        <v>282.24055125000001</v>
      </c>
      <c r="Y89" s="47">
        <f>V89*(1+Input!$B$36)</f>
        <v>296.35257881250004</v>
      </c>
      <c r="Z89" s="47">
        <f>W89*(1+Input!$B$36)</f>
        <v>296.35257881250004</v>
      </c>
      <c r="AA89" s="47">
        <f>X89*(1+Input!$B$36)</f>
        <v>296.35257881250004</v>
      </c>
      <c r="AB89" s="47">
        <f>Y89*(1+Input!$B$36)</f>
        <v>311.17020775312506</v>
      </c>
      <c r="AC89" s="47">
        <f>Z89*(1+Input!$B$36)</f>
        <v>311.17020775312506</v>
      </c>
      <c r="AD89" s="47">
        <f>AA89*(1+Input!$B$36)</f>
        <v>311.17020775312506</v>
      </c>
      <c r="AE89" s="47">
        <f>AB89*(1+Input!$B$36)</f>
        <v>326.72871814078133</v>
      </c>
      <c r="AF89" s="47">
        <f>AC89*(1+Input!$B$36)</f>
        <v>326.72871814078133</v>
      </c>
      <c r="AG89" s="47">
        <f>AD89*(1+Input!$B$36)</f>
        <v>326.72871814078133</v>
      </c>
      <c r="AH89" s="47">
        <f>AE89*(1+Input!$B$36)</f>
        <v>343.06515404782039</v>
      </c>
      <c r="AI89" s="47">
        <f>AF89*(1+Input!$B$36)</f>
        <v>343.06515404782039</v>
      </c>
      <c r="AJ89" s="47">
        <f>AG89*(1+Input!$B$36)</f>
        <v>343.06515404782039</v>
      </c>
      <c r="AK89" s="47" t="s">
        <v>98</v>
      </c>
    </row>
    <row r="90" spans="3:37" x14ac:dyDescent="0.25">
      <c r="E90" s="64" t="str">
        <f>Input!A183</f>
        <v>Year 12</v>
      </c>
      <c r="F90" s="57">
        <f>Input!B183</f>
        <v>43</v>
      </c>
      <c r="J90" s="47">
        <f>$F90*Input!$B$33*Input!$B$28*Input!$B$11</f>
        <v>232.2</v>
      </c>
      <c r="K90" s="47">
        <f>$F90*Input!$B$33*Input!$B$28*Input!$B$11</f>
        <v>232.2</v>
      </c>
      <c r="L90" s="47">
        <f>$F90*Input!$B$33*Input!$B$28*Input!$B$11</f>
        <v>232.2</v>
      </c>
      <c r="M90" s="47">
        <f>J90*(1+Input!$B$36)</f>
        <v>243.81</v>
      </c>
      <c r="N90" s="47">
        <f>K90*(1+Input!$B$36)</f>
        <v>243.81</v>
      </c>
      <c r="O90" s="47">
        <f>L90*(1+Input!$B$36)</f>
        <v>243.81</v>
      </c>
      <c r="P90" s="47">
        <f>M90*(1+Input!$B$36)</f>
        <v>256.00049999999999</v>
      </c>
      <c r="Q90" s="47">
        <f>N90*(1+Input!$B$36)</f>
        <v>256.00049999999999</v>
      </c>
      <c r="R90" s="47">
        <f>O90*(1+Input!$B$36)</f>
        <v>256.00049999999999</v>
      </c>
      <c r="S90" s="47">
        <f>P90*(1+Input!$B$36)</f>
        <v>268.80052499999999</v>
      </c>
      <c r="T90" s="47">
        <f>Q90*(1+Input!$B$36)</f>
        <v>268.80052499999999</v>
      </c>
      <c r="U90" s="47">
        <f>R90*(1+Input!$B$36)</f>
        <v>268.80052499999999</v>
      </c>
      <c r="V90" s="47">
        <f>S90*(1+Input!$B$36)</f>
        <v>282.24055125000001</v>
      </c>
      <c r="W90" s="47">
        <f>T90*(1+Input!$B$36)</f>
        <v>282.24055125000001</v>
      </c>
      <c r="X90" s="47">
        <f>U90*(1+Input!$B$36)</f>
        <v>282.24055125000001</v>
      </c>
      <c r="Y90" s="47">
        <f>V90*(1+Input!$B$36)</f>
        <v>296.35257881250004</v>
      </c>
      <c r="Z90" s="47">
        <f>W90*(1+Input!$B$36)</f>
        <v>296.35257881250004</v>
      </c>
      <c r="AA90" s="47">
        <f>X90*(1+Input!$B$36)</f>
        <v>296.35257881250004</v>
      </c>
      <c r="AB90" s="47">
        <f>Y90*(1+Input!$B$36)</f>
        <v>311.17020775312506</v>
      </c>
      <c r="AC90" s="47">
        <f>Z90*(1+Input!$B$36)</f>
        <v>311.17020775312506</v>
      </c>
      <c r="AD90" s="47">
        <f>AA90*(1+Input!$B$36)</f>
        <v>311.17020775312506</v>
      </c>
      <c r="AE90" s="47">
        <f>AB90*(1+Input!$B$36)</f>
        <v>326.72871814078133</v>
      </c>
      <c r="AF90" s="47">
        <f>AC90*(1+Input!$B$36)</f>
        <v>326.72871814078133</v>
      </c>
      <c r="AG90" s="47">
        <f>AD90*(1+Input!$B$36)</f>
        <v>326.72871814078133</v>
      </c>
      <c r="AH90" s="47">
        <f>AE90*(1+Input!$B$36)</f>
        <v>343.06515404782039</v>
      </c>
      <c r="AI90" s="47">
        <f>AF90*(1+Input!$B$36)</f>
        <v>343.06515404782039</v>
      </c>
      <c r="AJ90" s="47">
        <f>AG90*(1+Input!$B$36)</f>
        <v>343.06515404782039</v>
      </c>
      <c r="AK90" s="47" t="s">
        <v>98</v>
      </c>
    </row>
    <row r="91" spans="3:37" x14ac:dyDescent="0.25">
      <c r="E91" s="64" t="str">
        <f>Input!A184</f>
        <v>Year 13</v>
      </c>
      <c r="F91" s="57">
        <f>Input!B184</f>
        <v>43</v>
      </c>
      <c r="J91" s="47">
        <f>$F91*Input!$B$33*Input!$B$28*Input!$B$11</f>
        <v>232.2</v>
      </c>
      <c r="K91" s="47">
        <f>$F91*Input!$B$33*Input!$B$28*Input!$B$11</f>
        <v>232.2</v>
      </c>
      <c r="L91" s="47">
        <f>$F91*Input!$B$33*Input!$B$28*Input!$B$11</f>
        <v>232.2</v>
      </c>
      <c r="M91" s="47">
        <f>J91*(1+Input!$B$36)</f>
        <v>243.81</v>
      </c>
      <c r="N91" s="47">
        <f>K91*(1+Input!$B$36)</f>
        <v>243.81</v>
      </c>
      <c r="O91" s="47">
        <f>L91*(1+Input!$B$36)</f>
        <v>243.81</v>
      </c>
      <c r="P91" s="47">
        <f>M91*(1+Input!$B$36)</f>
        <v>256.00049999999999</v>
      </c>
      <c r="Q91" s="47">
        <f>N91*(1+Input!$B$36)</f>
        <v>256.00049999999999</v>
      </c>
      <c r="R91" s="47">
        <f>O91*(1+Input!$B$36)</f>
        <v>256.00049999999999</v>
      </c>
      <c r="S91" s="47">
        <f>P91*(1+Input!$B$36)</f>
        <v>268.80052499999999</v>
      </c>
      <c r="T91" s="47">
        <f>Q91*(1+Input!$B$36)</f>
        <v>268.80052499999999</v>
      </c>
      <c r="U91" s="47">
        <f>R91*(1+Input!$B$36)</f>
        <v>268.80052499999999</v>
      </c>
      <c r="V91" s="47">
        <f>S91*(1+Input!$B$36)</f>
        <v>282.24055125000001</v>
      </c>
      <c r="W91" s="47">
        <f>T91*(1+Input!$B$36)</f>
        <v>282.24055125000001</v>
      </c>
      <c r="X91" s="47">
        <f>U91*(1+Input!$B$36)</f>
        <v>282.24055125000001</v>
      </c>
      <c r="Y91" s="47">
        <f>V91*(1+Input!$B$36)</f>
        <v>296.35257881250004</v>
      </c>
      <c r="Z91" s="47">
        <f>W91*(1+Input!$B$36)</f>
        <v>296.35257881250004</v>
      </c>
      <c r="AA91" s="47">
        <f>X91*(1+Input!$B$36)</f>
        <v>296.35257881250004</v>
      </c>
      <c r="AB91" s="47">
        <f>Y91*(1+Input!$B$36)</f>
        <v>311.17020775312506</v>
      </c>
      <c r="AC91" s="47">
        <f>Z91*(1+Input!$B$36)</f>
        <v>311.17020775312506</v>
      </c>
      <c r="AD91" s="47">
        <f>AA91*(1+Input!$B$36)</f>
        <v>311.17020775312506</v>
      </c>
      <c r="AE91" s="47">
        <f>AB91*(1+Input!$B$36)</f>
        <v>326.72871814078133</v>
      </c>
      <c r="AF91" s="47">
        <f>AC91*(1+Input!$B$36)</f>
        <v>326.72871814078133</v>
      </c>
      <c r="AG91" s="47">
        <f>AD91*(1+Input!$B$36)</f>
        <v>326.72871814078133</v>
      </c>
      <c r="AH91" s="47">
        <f>AE91*(1+Input!$B$36)</f>
        <v>343.06515404782039</v>
      </c>
      <c r="AI91" s="47">
        <f>AF91*(1+Input!$B$36)</f>
        <v>343.06515404782039</v>
      </c>
      <c r="AJ91" s="47">
        <f>AG91*(1+Input!$B$36)</f>
        <v>343.06515404782039</v>
      </c>
      <c r="AK91" s="47" t="s">
        <v>98</v>
      </c>
    </row>
    <row r="92" spans="3:37" x14ac:dyDescent="0.25">
      <c r="E92" s="64" t="str">
        <f>Input!A185</f>
        <v>Year 14</v>
      </c>
      <c r="F92" s="57">
        <f>Input!B185</f>
        <v>43</v>
      </c>
      <c r="J92" s="47">
        <f>$F92*Input!$B$33*Input!$B$28*Input!$B$11</f>
        <v>232.2</v>
      </c>
      <c r="K92" s="47">
        <f>$F92*Input!$B$33*Input!$B$28*Input!$B$11</f>
        <v>232.2</v>
      </c>
      <c r="L92" s="47">
        <f>$F92*Input!$B$33*Input!$B$28*Input!$B$11</f>
        <v>232.2</v>
      </c>
      <c r="M92" s="47">
        <f>J92*(1+Input!$B$36)</f>
        <v>243.81</v>
      </c>
      <c r="N92" s="47">
        <f>K92*(1+Input!$B$36)</f>
        <v>243.81</v>
      </c>
      <c r="O92" s="47">
        <f>L92*(1+Input!$B$36)</f>
        <v>243.81</v>
      </c>
      <c r="P92" s="47">
        <f>M92*(1+Input!$B$36)</f>
        <v>256.00049999999999</v>
      </c>
      <c r="Q92" s="47">
        <f>N92*(1+Input!$B$36)</f>
        <v>256.00049999999999</v>
      </c>
      <c r="R92" s="47">
        <f>O92*(1+Input!$B$36)</f>
        <v>256.00049999999999</v>
      </c>
      <c r="S92" s="47">
        <f>P92*(1+Input!$B$36)</f>
        <v>268.80052499999999</v>
      </c>
      <c r="T92" s="47">
        <f>Q92*(1+Input!$B$36)</f>
        <v>268.80052499999999</v>
      </c>
      <c r="U92" s="47">
        <f>R92*(1+Input!$B$36)</f>
        <v>268.80052499999999</v>
      </c>
      <c r="V92" s="47">
        <f>S92*(1+Input!$B$36)</f>
        <v>282.24055125000001</v>
      </c>
      <c r="W92" s="47">
        <f>T92*(1+Input!$B$36)</f>
        <v>282.24055125000001</v>
      </c>
      <c r="X92" s="47">
        <f>U92*(1+Input!$B$36)</f>
        <v>282.24055125000001</v>
      </c>
      <c r="Y92" s="47">
        <f>V92*(1+Input!$B$36)</f>
        <v>296.35257881250004</v>
      </c>
      <c r="Z92" s="47">
        <f>W92*(1+Input!$B$36)</f>
        <v>296.35257881250004</v>
      </c>
      <c r="AA92" s="47">
        <f>X92*(1+Input!$B$36)</f>
        <v>296.35257881250004</v>
      </c>
      <c r="AB92" s="47">
        <f>Y92*(1+Input!$B$36)</f>
        <v>311.17020775312506</v>
      </c>
      <c r="AC92" s="47">
        <f>Z92*(1+Input!$B$36)</f>
        <v>311.17020775312506</v>
      </c>
      <c r="AD92" s="47">
        <f>AA92*(1+Input!$B$36)</f>
        <v>311.17020775312506</v>
      </c>
      <c r="AE92" s="47">
        <f>AB92*(1+Input!$B$36)</f>
        <v>326.72871814078133</v>
      </c>
      <c r="AF92" s="47">
        <f>AC92*(1+Input!$B$36)</f>
        <v>326.72871814078133</v>
      </c>
      <c r="AG92" s="47">
        <f>AD92*(1+Input!$B$36)</f>
        <v>326.72871814078133</v>
      </c>
      <c r="AH92" s="47">
        <f>AE92*(1+Input!$B$36)</f>
        <v>343.06515404782039</v>
      </c>
      <c r="AI92" s="47">
        <f>AF92*(1+Input!$B$36)</f>
        <v>343.06515404782039</v>
      </c>
      <c r="AJ92" s="47">
        <f>AG92*(1+Input!$B$36)</f>
        <v>343.06515404782039</v>
      </c>
      <c r="AK92" s="47" t="s">
        <v>98</v>
      </c>
    </row>
    <row r="93" spans="3:37" x14ac:dyDescent="0.25">
      <c r="E93" s="64" t="s">
        <v>106</v>
      </c>
      <c r="F93" s="57"/>
      <c r="J93" s="47">
        <f>SUM(J74:J92)</f>
        <v>4411.7999999999984</v>
      </c>
      <c r="K93" s="47">
        <f t="shared" ref="K93:AJ93" si="3">SUM(K74:K92)</f>
        <v>4411.7999999999984</v>
      </c>
      <c r="L93" s="47">
        <f t="shared" si="3"/>
        <v>4411.7999999999984</v>
      </c>
      <c r="M93" s="47">
        <f t="shared" si="3"/>
        <v>4632.3900000000003</v>
      </c>
      <c r="N93" s="47">
        <f t="shared" si="3"/>
        <v>4632.3900000000003</v>
      </c>
      <c r="O93" s="47">
        <f t="shared" si="3"/>
        <v>4632.3900000000003</v>
      </c>
      <c r="P93" s="47">
        <f t="shared" si="3"/>
        <v>4864.009500000001</v>
      </c>
      <c r="Q93" s="47">
        <f t="shared" si="3"/>
        <v>4864.009500000001</v>
      </c>
      <c r="R93" s="47">
        <f t="shared" si="3"/>
        <v>4864.009500000001</v>
      </c>
      <c r="S93" s="47">
        <f t="shared" si="3"/>
        <v>5107.2099749999998</v>
      </c>
      <c r="T93" s="47">
        <f t="shared" si="3"/>
        <v>5107.2099749999998</v>
      </c>
      <c r="U93" s="47">
        <f t="shared" si="3"/>
        <v>5107.2099749999998</v>
      </c>
      <c r="V93" s="47">
        <f t="shared" si="3"/>
        <v>5362.57047375</v>
      </c>
      <c r="W93" s="47">
        <f t="shared" si="3"/>
        <v>5362.57047375</v>
      </c>
      <c r="X93" s="47">
        <f t="shared" si="3"/>
        <v>5362.57047375</v>
      </c>
      <c r="Y93" s="47">
        <f t="shared" si="3"/>
        <v>5630.6989974374983</v>
      </c>
      <c r="Z93" s="47">
        <f t="shared" si="3"/>
        <v>5630.6989974374983</v>
      </c>
      <c r="AA93" s="47">
        <f t="shared" si="3"/>
        <v>5630.6989974374983</v>
      </c>
      <c r="AB93" s="47">
        <f t="shared" si="3"/>
        <v>5912.2339473093771</v>
      </c>
      <c r="AC93" s="47">
        <f t="shared" si="3"/>
        <v>5912.2339473093771</v>
      </c>
      <c r="AD93" s="47">
        <f t="shared" si="3"/>
        <v>5912.2339473093771</v>
      </c>
      <c r="AE93" s="47">
        <f t="shared" si="3"/>
        <v>6207.8456446748442</v>
      </c>
      <c r="AF93" s="47">
        <f t="shared" si="3"/>
        <v>6207.8456446748442</v>
      </c>
      <c r="AG93" s="47">
        <f t="shared" si="3"/>
        <v>6207.8456446748442</v>
      </c>
      <c r="AH93" s="47">
        <f t="shared" si="3"/>
        <v>6518.237926908585</v>
      </c>
      <c r="AI93" s="47">
        <f t="shared" si="3"/>
        <v>6518.237926908585</v>
      </c>
      <c r="AJ93" s="47">
        <f t="shared" si="3"/>
        <v>6518.237926908585</v>
      </c>
      <c r="AK93" s="47" t="s">
        <v>98</v>
      </c>
    </row>
    <row r="94" spans="3:37" x14ac:dyDescent="0.25">
      <c r="E94" s="64"/>
      <c r="F94" s="57"/>
    </row>
    <row r="95" spans="3:37" x14ac:dyDescent="0.25">
      <c r="C95" s="64" t="str">
        <f>Input!A188</f>
        <v>Correspondence</v>
      </c>
      <c r="E95" s="64"/>
      <c r="F95" s="57"/>
      <c r="AK95" s="47" t="s">
        <v>98</v>
      </c>
    </row>
    <row r="96" spans="3:37" x14ac:dyDescent="0.25">
      <c r="E96" s="64" t="str">
        <f>Input!A189</f>
        <v>Creche</v>
      </c>
      <c r="F96" s="57">
        <f>Input!B189</f>
        <v>50</v>
      </c>
      <c r="J96" s="47">
        <f>$F96*Input!$B$33*Input!$B$28*Input!$B$11</f>
        <v>270</v>
      </c>
      <c r="K96" s="47">
        <f>$F96*Input!$B$33*Input!$B$28*Input!$B$11</f>
        <v>270</v>
      </c>
      <c r="L96" s="47">
        <f>$F96*Input!$B$33*Input!$B$28*Input!$B$11</f>
        <v>270</v>
      </c>
      <c r="M96" s="47">
        <f>J96*(1+Input!$B$36)</f>
        <v>283.5</v>
      </c>
      <c r="N96" s="47">
        <f>K96*(1+Input!$B$36)</f>
        <v>283.5</v>
      </c>
      <c r="O96" s="47">
        <f>L96*(1+Input!$B$36)</f>
        <v>283.5</v>
      </c>
      <c r="P96" s="47">
        <f>M96*(1+Input!$B$36)</f>
        <v>297.67500000000001</v>
      </c>
      <c r="Q96" s="47">
        <f>N96*(1+Input!$B$36)</f>
        <v>297.67500000000001</v>
      </c>
      <c r="R96" s="47">
        <f>O96*(1+Input!$B$36)</f>
        <v>297.67500000000001</v>
      </c>
      <c r="S96" s="47">
        <f>P96*(1+Input!$B$36)</f>
        <v>312.55875000000003</v>
      </c>
      <c r="T96" s="47">
        <f>Q96*(1+Input!$B$36)</f>
        <v>312.55875000000003</v>
      </c>
      <c r="U96" s="47">
        <f>R96*(1+Input!$B$36)</f>
        <v>312.55875000000003</v>
      </c>
      <c r="V96" s="47">
        <f>S96*(1+Input!$B$36)</f>
        <v>328.18668750000006</v>
      </c>
      <c r="W96" s="47">
        <f>T96*(1+Input!$B$36)</f>
        <v>328.18668750000006</v>
      </c>
      <c r="X96" s="47">
        <f>U96*(1+Input!$B$36)</f>
        <v>328.18668750000006</v>
      </c>
      <c r="Y96" s="47">
        <f>V96*(1+Input!$B$36)</f>
        <v>344.59602187500008</v>
      </c>
      <c r="Z96" s="47">
        <f>W96*(1+Input!$B$36)</f>
        <v>344.59602187500008</v>
      </c>
      <c r="AA96" s="47">
        <f>X96*(1+Input!$B$36)</f>
        <v>344.59602187500008</v>
      </c>
      <c r="AB96" s="47">
        <f>Y96*(1+Input!$B$36)</f>
        <v>361.82582296875012</v>
      </c>
      <c r="AC96" s="47">
        <f>Z96*(1+Input!$B$36)</f>
        <v>361.82582296875012</v>
      </c>
      <c r="AD96" s="47">
        <f>AA96*(1+Input!$B$36)</f>
        <v>361.82582296875012</v>
      </c>
      <c r="AE96" s="47">
        <f>AB96*(1+Input!$B$36)</f>
        <v>379.91711411718762</v>
      </c>
      <c r="AF96" s="47">
        <f>AC96*(1+Input!$B$36)</f>
        <v>379.91711411718762</v>
      </c>
      <c r="AG96" s="47">
        <f>AD96*(1+Input!$B$36)</f>
        <v>379.91711411718762</v>
      </c>
      <c r="AH96" s="47">
        <f>AE96*(1+Input!$B$36)</f>
        <v>398.91296982304704</v>
      </c>
      <c r="AI96" s="47">
        <f>AF96*(1+Input!$B$36)</f>
        <v>398.91296982304704</v>
      </c>
      <c r="AJ96" s="47">
        <f>AG96*(1+Input!$B$36)</f>
        <v>398.91296982304704</v>
      </c>
      <c r="AK96" s="47" t="s">
        <v>98</v>
      </c>
    </row>
    <row r="97" spans="5:37" x14ac:dyDescent="0.25">
      <c r="E97" s="64" t="str">
        <f>Input!A190</f>
        <v>Playgroup</v>
      </c>
      <c r="F97" s="57">
        <f>Input!B190</f>
        <v>50</v>
      </c>
      <c r="J97" s="47">
        <f>$F97*Input!$B$33*Input!$B$28*Input!$B$11</f>
        <v>270</v>
      </c>
      <c r="K97" s="47">
        <f>$F97*Input!$B$33*Input!$B$28*Input!$B$11</f>
        <v>270</v>
      </c>
      <c r="L97" s="47">
        <f>$F97*Input!$B$33*Input!$B$28*Input!$B$11</f>
        <v>270</v>
      </c>
      <c r="M97" s="47">
        <f>J97*(1+Input!$B$36)</f>
        <v>283.5</v>
      </c>
      <c r="N97" s="47">
        <f>K97*(1+Input!$B$36)</f>
        <v>283.5</v>
      </c>
      <c r="O97" s="47">
        <f>L97*(1+Input!$B$36)</f>
        <v>283.5</v>
      </c>
      <c r="P97" s="47">
        <f>M97*(1+Input!$B$36)</f>
        <v>297.67500000000001</v>
      </c>
      <c r="Q97" s="47">
        <f>N97*(1+Input!$B$36)</f>
        <v>297.67500000000001</v>
      </c>
      <c r="R97" s="47">
        <f>O97*(1+Input!$B$36)</f>
        <v>297.67500000000001</v>
      </c>
      <c r="S97" s="47">
        <f>P97*(1+Input!$B$36)</f>
        <v>312.55875000000003</v>
      </c>
      <c r="T97" s="47">
        <f>Q97*(1+Input!$B$36)</f>
        <v>312.55875000000003</v>
      </c>
      <c r="U97" s="47">
        <f>R97*(1+Input!$B$36)</f>
        <v>312.55875000000003</v>
      </c>
      <c r="V97" s="47">
        <f>S97*(1+Input!$B$36)</f>
        <v>328.18668750000006</v>
      </c>
      <c r="W97" s="47">
        <f>T97*(1+Input!$B$36)</f>
        <v>328.18668750000006</v>
      </c>
      <c r="X97" s="47">
        <f>U97*(1+Input!$B$36)</f>
        <v>328.18668750000006</v>
      </c>
      <c r="Y97" s="47">
        <f>V97*(1+Input!$B$36)</f>
        <v>344.59602187500008</v>
      </c>
      <c r="Z97" s="47">
        <f>W97*(1+Input!$B$36)</f>
        <v>344.59602187500008</v>
      </c>
      <c r="AA97" s="47">
        <f>X97*(1+Input!$B$36)</f>
        <v>344.59602187500008</v>
      </c>
      <c r="AB97" s="47">
        <f>Y97*(1+Input!$B$36)</f>
        <v>361.82582296875012</v>
      </c>
      <c r="AC97" s="47">
        <f>Z97*(1+Input!$B$36)</f>
        <v>361.82582296875012</v>
      </c>
      <c r="AD97" s="47">
        <f>AA97*(1+Input!$B$36)</f>
        <v>361.82582296875012</v>
      </c>
      <c r="AE97" s="47">
        <f>AB97*(1+Input!$B$36)</f>
        <v>379.91711411718762</v>
      </c>
      <c r="AF97" s="47">
        <f>AC97*(1+Input!$B$36)</f>
        <v>379.91711411718762</v>
      </c>
      <c r="AG97" s="47">
        <f>AD97*(1+Input!$B$36)</f>
        <v>379.91711411718762</v>
      </c>
      <c r="AH97" s="47">
        <f>AE97*(1+Input!$B$36)</f>
        <v>398.91296982304704</v>
      </c>
      <c r="AI97" s="47">
        <f>AF97*(1+Input!$B$36)</f>
        <v>398.91296982304704</v>
      </c>
      <c r="AJ97" s="47">
        <f>AG97*(1+Input!$B$36)</f>
        <v>398.91296982304704</v>
      </c>
      <c r="AK97" s="47" t="s">
        <v>98</v>
      </c>
    </row>
    <row r="98" spans="5:37" x14ac:dyDescent="0.25">
      <c r="E98" s="64" t="str">
        <f>Input!A191</f>
        <v xml:space="preserve">Nursery </v>
      </c>
      <c r="F98" s="57">
        <f>Input!B191</f>
        <v>50</v>
      </c>
      <c r="J98" s="47">
        <f>$F98*Input!$B$33*Input!$B$28*Input!$B$11</f>
        <v>270</v>
      </c>
      <c r="K98" s="47">
        <f>$F98*Input!$B$33*Input!$B$28*Input!$B$11</f>
        <v>270</v>
      </c>
      <c r="L98" s="47">
        <f>$F98*Input!$B$33*Input!$B$28*Input!$B$11</f>
        <v>270</v>
      </c>
      <c r="M98" s="47">
        <f>J98*(1+Input!$B$36)</f>
        <v>283.5</v>
      </c>
      <c r="N98" s="47">
        <f>K98*(1+Input!$B$36)</f>
        <v>283.5</v>
      </c>
      <c r="O98" s="47">
        <f>L98*(1+Input!$B$36)</f>
        <v>283.5</v>
      </c>
      <c r="P98" s="47">
        <f>M98*(1+Input!$B$36)</f>
        <v>297.67500000000001</v>
      </c>
      <c r="Q98" s="47">
        <f>N98*(1+Input!$B$36)</f>
        <v>297.67500000000001</v>
      </c>
      <c r="R98" s="47">
        <f>O98*(1+Input!$B$36)</f>
        <v>297.67500000000001</v>
      </c>
      <c r="S98" s="47">
        <f>P98*(1+Input!$B$36)</f>
        <v>312.55875000000003</v>
      </c>
      <c r="T98" s="47">
        <f>Q98*(1+Input!$B$36)</f>
        <v>312.55875000000003</v>
      </c>
      <c r="U98" s="47">
        <f>R98*(1+Input!$B$36)</f>
        <v>312.55875000000003</v>
      </c>
      <c r="V98" s="47">
        <f>S98*(1+Input!$B$36)</f>
        <v>328.18668750000006</v>
      </c>
      <c r="W98" s="47">
        <f>T98*(1+Input!$B$36)</f>
        <v>328.18668750000006</v>
      </c>
      <c r="X98" s="47">
        <f>U98*(1+Input!$B$36)</f>
        <v>328.18668750000006</v>
      </c>
      <c r="Y98" s="47">
        <f>V98*(1+Input!$B$36)</f>
        <v>344.59602187500008</v>
      </c>
      <c r="Z98" s="47">
        <f>W98*(1+Input!$B$36)</f>
        <v>344.59602187500008</v>
      </c>
      <c r="AA98" s="47">
        <f>X98*(1+Input!$B$36)</f>
        <v>344.59602187500008</v>
      </c>
      <c r="AB98" s="47">
        <f>Y98*(1+Input!$B$36)</f>
        <v>361.82582296875012</v>
      </c>
      <c r="AC98" s="47">
        <f>Z98*(1+Input!$B$36)</f>
        <v>361.82582296875012</v>
      </c>
      <c r="AD98" s="47">
        <f>AA98*(1+Input!$B$36)</f>
        <v>361.82582296875012</v>
      </c>
      <c r="AE98" s="47">
        <f>AB98*(1+Input!$B$36)</f>
        <v>379.91711411718762</v>
      </c>
      <c r="AF98" s="47">
        <f>AC98*(1+Input!$B$36)</f>
        <v>379.91711411718762</v>
      </c>
      <c r="AG98" s="47">
        <f>AD98*(1+Input!$B$36)</f>
        <v>379.91711411718762</v>
      </c>
      <c r="AH98" s="47">
        <f>AE98*(1+Input!$B$36)</f>
        <v>398.91296982304704</v>
      </c>
      <c r="AI98" s="47">
        <f>AF98*(1+Input!$B$36)</f>
        <v>398.91296982304704</v>
      </c>
      <c r="AJ98" s="47">
        <f>AG98*(1+Input!$B$36)</f>
        <v>398.91296982304704</v>
      </c>
      <c r="AK98" s="47" t="s">
        <v>98</v>
      </c>
    </row>
    <row r="99" spans="5:37" x14ac:dyDescent="0.25">
      <c r="E99" s="64" t="str">
        <f>Input!A192</f>
        <v xml:space="preserve">Reception 1 </v>
      </c>
      <c r="F99" s="57">
        <f>Input!B192</f>
        <v>50</v>
      </c>
      <c r="J99" s="47">
        <f>$F99*Input!$B$33*Input!$B$28*Input!$B$11</f>
        <v>270</v>
      </c>
      <c r="K99" s="47">
        <f>$F99*Input!$B$33*Input!$B$28*Input!$B$11</f>
        <v>270</v>
      </c>
      <c r="L99" s="47">
        <f>$F99*Input!$B$33*Input!$B$28*Input!$B$11</f>
        <v>270</v>
      </c>
      <c r="M99" s="47">
        <f>J99*(1+Input!$B$36)</f>
        <v>283.5</v>
      </c>
      <c r="N99" s="47">
        <f>K99*(1+Input!$B$36)</f>
        <v>283.5</v>
      </c>
      <c r="O99" s="47">
        <f>L99*(1+Input!$B$36)</f>
        <v>283.5</v>
      </c>
      <c r="P99" s="47">
        <f>M99*(1+Input!$B$36)</f>
        <v>297.67500000000001</v>
      </c>
      <c r="Q99" s="47">
        <f>N99*(1+Input!$B$36)</f>
        <v>297.67500000000001</v>
      </c>
      <c r="R99" s="47">
        <f>O99*(1+Input!$B$36)</f>
        <v>297.67500000000001</v>
      </c>
      <c r="S99" s="47">
        <f>P99*(1+Input!$B$36)</f>
        <v>312.55875000000003</v>
      </c>
      <c r="T99" s="47">
        <f>Q99*(1+Input!$B$36)</f>
        <v>312.55875000000003</v>
      </c>
      <c r="U99" s="47">
        <f>R99*(1+Input!$B$36)</f>
        <v>312.55875000000003</v>
      </c>
      <c r="V99" s="47">
        <f>S99*(1+Input!$B$36)</f>
        <v>328.18668750000006</v>
      </c>
      <c r="W99" s="47">
        <f>T99*(1+Input!$B$36)</f>
        <v>328.18668750000006</v>
      </c>
      <c r="X99" s="47">
        <f>U99*(1+Input!$B$36)</f>
        <v>328.18668750000006</v>
      </c>
      <c r="Y99" s="47">
        <f>V99*(1+Input!$B$36)</f>
        <v>344.59602187500008</v>
      </c>
      <c r="Z99" s="47">
        <f>W99*(1+Input!$B$36)</f>
        <v>344.59602187500008</v>
      </c>
      <c r="AA99" s="47">
        <f>X99*(1+Input!$B$36)</f>
        <v>344.59602187500008</v>
      </c>
      <c r="AB99" s="47">
        <f>Y99*(1+Input!$B$36)</f>
        <v>361.82582296875012</v>
      </c>
      <c r="AC99" s="47">
        <f>Z99*(1+Input!$B$36)</f>
        <v>361.82582296875012</v>
      </c>
      <c r="AD99" s="47">
        <f>AA99*(1+Input!$B$36)</f>
        <v>361.82582296875012</v>
      </c>
      <c r="AE99" s="47">
        <f>AB99*(1+Input!$B$36)</f>
        <v>379.91711411718762</v>
      </c>
      <c r="AF99" s="47">
        <f>AC99*(1+Input!$B$36)</f>
        <v>379.91711411718762</v>
      </c>
      <c r="AG99" s="47">
        <f>AD99*(1+Input!$B$36)</f>
        <v>379.91711411718762</v>
      </c>
      <c r="AH99" s="47">
        <f>AE99*(1+Input!$B$36)</f>
        <v>398.91296982304704</v>
      </c>
      <c r="AI99" s="47">
        <f>AF99*(1+Input!$B$36)</f>
        <v>398.91296982304704</v>
      </c>
      <c r="AJ99" s="47">
        <f>AG99*(1+Input!$B$36)</f>
        <v>398.91296982304704</v>
      </c>
      <c r="AK99" s="47" t="s">
        <v>98</v>
      </c>
    </row>
    <row r="100" spans="5:37" x14ac:dyDescent="0.25">
      <c r="E100" s="64" t="str">
        <f>Input!A193</f>
        <v xml:space="preserve">Reception 2 </v>
      </c>
      <c r="F100" s="57">
        <f>Input!B193</f>
        <v>50</v>
      </c>
      <c r="J100" s="47">
        <f>$F100*Input!$B$33*Input!$B$28*Input!$B$11</f>
        <v>270</v>
      </c>
      <c r="K100" s="47">
        <f>$F100*Input!$B$33*Input!$B$28*Input!$B$11</f>
        <v>270</v>
      </c>
      <c r="L100" s="47">
        <f>$F100*Input!$B$33*Input!$B$28*Input!$B$11</f>
        <v>270</v>
      </c>
      <c r="M100" s="47">
        <f>J100*(1+Input!$B$36)</f>
        <v>283.5</v>
      </c>
      <c r="N100" s="47">
        <f>K100*(1+Input!$B$36)</f>
        <v>283.5</v>
      </c>
      <c r="O100" s="47">
        <f>L100*(1+Input!$B$36)</f>
        <v>283.5</v>
      </c>
      <c r="P100" s="47">
        <f>M100*(1+Input!$B$36)</f>
        <v>297.67500000000001</v>
      </c>
      <c r="Q100" s="47">
        <f>N100*(1+Input!$B$36)</f>
        <v>297.67500000000001</v>
      </c>
      <c r="R100" s="47">
        <f>O100*(1+Input!$B$36)</f>
        <v>297.67500000000001</v>
      </c>
      <c r="S100" s="47">
        <f>P100*(1+Input!$B$36)</f>
        <v>312.55875000000003</v>
      </c>
      <c r="T100" s="47">
        <f>Q100*(1+Input!$B$36)</f>
        <v>312.55875000000003</v>
      </c>
      <c r="U100" s="47">
        <f>R100*(1+Input!$B$36)</f>
        <v>312.55875000000003</v>
      </c>
      <c r="V100" s="47">
        <f>S100*(1+Input!$B$36)</f>
        <v>328.18668750000006</v>
      </c>
      <c r="W100" s="47">
        <f>T100*(1+Input!$B$36)</f>
        <v>328.18668750000006</v>
      </c>
      <c r="X100" s="47">
        <f>U100*(1+Input!$B$36)</f>
        <v>328.18668750000006</v>
      </c>
      <c r="Y100" s="47">
        <f>V100*(1+Input!$B$36)</f>
        <v>344.59602187500008</v>
      </c>
      <c r="Z100" s="47">
        <f>W100*(1+Input!$B$36)</f>
        <v>344.59602187500008</v>
      </c>
      <c r="AA100" s="47">
        <f>X100*(1+Input!$B$36)</f>
        <v>344.59602187500008</v>
      </c>
      <c r="AB100" s="47">
        <f>Y100*(1+Input!$B$36)</f>
        <v>361.82582296875012</v>
      </c>
      <c r="AC100" s="47">
        <f>Z100*(1+Input!$B$36)</f>
        <v>361.82582296875012</v>
      </c>
      <c r="AD100" s="47">
        <f>AA100*(1+Input!$B$36)</f>
        <v>361.82582296875012</v>
      </c>
      <c r="AE100" s="47">
        <f>AB100*(1+Input!$B$36)</f>
        <v>379.91711411718762</v>
      </c>
      <c r="AF100" s="47">
        <f>AC100*(1+Input!$B$36)</f>
        <v>379.91711411718762</v>
      </c>
      <c r="AG100" s="47">
        <f>AD100*(1+Input!$B$36)</f>
        <v>379.91711411718762</v>
      </c>
      <c r="AH100" s="47">
        <f>AE100*(1+Input!$B$36)</f>
        <v>398.91296982304704</v>
      </c>
      <c r="AI100" s="47">
        <f>AF100*(1+Input!$B$36)</f>
        <v>398.91296982304704</v>
      </c>
      <c r="AJ100" s="47">
        <f>AG100*(1+Input!$B$36)</f>
        <v>398.91296982304704</v>
      </c>
      <c r="AK100" s="47" t="s">
        <v>98</v>
      </c>
    </row>
    <row r="101" spans="5:37" x14ac:dyDescent="0.25">
      <c r="E101" s="64" t="str">
        <f>Input!A194</f>
        <v>Year 1</v>
      </c>
      <c r="F101" s="57">
        <f>Input!B194</f>
        <v>50</v>
      </c>
      <c r="J101" s="47">
        <f>$F101*Input!$B$33*Input!$B$28*Input!$B$11</f>
        <v>270</v>
      </c>
      <c r="K101" s="47">
        <f>$F101*Input!$B$33*Input!$B$28*Input!$B$11</f>
        <v>270</v>
      </c>
      <c r="L101" s="47">
        <f>$F101*Input!$B$33*Input!$B$28*Input!$B$11</f>
        <v>270</v>
      </c>
      <c r="M101" s="47">
        <f>J101*(1+Input!$B$36)</f>
        <v>283.5</v>
      </c>
      <c r="N101" s="47">
        <f>K101*(1+Input!$B$36)</f>
        <v>283.5</v>
      </c>
      <c r="O101" s="47">
        <f>L101*(1+Input!$B$36)</f>
        <v>283.5</v>
      </c>
      <c r="P101" s="47">
        <f>M101*(1+Input!$B$36)</f>
        <v>297.67500000000001</v>
      </c>
      <c r="Q101" s="47">
        <f>N101*(1+Input!$B$36)</f>
        <v>297.67500000000001</v>
      </c>
      <c r="R101" s="47">
        <f>O101*(1+Input!$B$36)</f>
        <v>297.67500000000001</v>
      </c>
      <c r="S101" s="47">
        <f>P101*(1+Input!$B$36)</f>
        <v>312.55875000000003</v>
      </c>
      <c r="T101" s="47">
        <f>Q101*(1+Input!$B$36)</f>
        <v>312.55875000000003</v>
      </c>
      <c r="U101" s="47">
        <f>R101*(1+Input!$B$36)</f>
        <v>312.55875000000003</v>
      </c>
      <c r="V101" s="47">
        <f>S101*(1+Input!$B$36)</f>
        <v>328.18668750000006</v>
      </c>
      <c r="W101" s="47">
        <f>T101*(1+Input!$B$36)</f>
        <v>328.18668750000006</v>
      </c>
      <c r="X101" s="47">
        <f>U101*(1+Input!$B$36)</f>
        <v>328.18668750000006</v>
      </c>
      <c r="Y101" s="47">
        <f>V101*(1+Input!$B$36)</f>
        <v>344.59602187500008</v>
      </c>
      <c r="Z101" s="47">
        <f>W101*(1+Input!$B$36)</f>
        <v>344.59602187500008</v>
      </c>
      <c r="AA101" s="47">
        <f>X101*(1+Input!$B$36)</f>
        <v>344.59602187500008</v>
      </c>
      <c r="AB101" s="47">
        <f>Y101*(1+Input!$B$36)</f>
        <v>361.82582296875012</v>
      </c>
      <c r="AC101" s="47">
        <f>Z101*(1+Input!$B$36)</f>
        <v>361.82582296875012</v>
      </c>
      <c r="AD101" s="47">
        <f>AA101*(1+Input!$B$36)</f>
        <v>361.82582296875012</v>
      </c>
      <c r="AE101" s="47">
        <f>AB101*(1+Input!$B$36)</f>
        <v>379.91711411718762</v>
      </c>
      <c r="AF101" s="47">
        <f>AC101*(1+Input!$B$36)</f>
        <v>379.91711411718762</v>
      </c>
      <c r="AG101" s="47">
        <f>AD101*(1+Input!$B$36)</f>
        <v>379.91711411718762</v>
      </c>
      <c r="AH101" s="47">
        <f>AE101*(1+Input!$B$36)</f>
        <v>398.91296982304704</v>
      </c>
      <c r="AI101" s="47">
        <f>AF101*(1+Input!$B$36)</f>
        <v>398.91296982304704</v>
      </c>
      <c r="AJ101" s="47">
        <f>AG101*(1+Input!$B$36)</f>
        <v>398.91296982304704</v>
      </c>
      <c r="AK101" s="47" t="s">
        <v>98</v>
      </c>
    </row>
    <row r="102" spans="5:37" x14ac:dyDescent="0.25">
      <c r="E102" s="64" t="str">
        <f>Input!A195</f>
        <v>Year 2</v>
      </c>
      <c r="F102" s="57">
        <f>Input!B195</f>
        <v>50</v>
      </c>
      <c r="J102" s="47">
        <f>$F102*Input!$B$33*Input!$B$28*Input!$B$11</f>
        <v>270</v>
      </c>
      <c r="K102" s="47">
        <f>$F102*Input!$B$33*Input!$B$28*Input!$B$11</f>
        <v>270</v>
      </c>
      <c r="L102" s="47">
        <f>$F102*Input!$B$33*Input!$B$28*Input!$B$11</f>
        <v>270</v>
      </c>
      <c r="M102" s="47">
        <f>J102*(1+Input!$B$36)</f>
        <v>283.5</v>
      </c>
      <c r="N102" s="47">
        <f>K102*(1+Input!$B$36)</f>
        <v>283.5</v>
      </c>
      <c r="O102" s="47">
        <f>L102*(1+Input!$B$36)</f>
        <v>283.5</v>
      </c>
      <c r="P102" s="47">
        <f>M102*(1+Input!$B$36)</f>
        <v>297.67500000000001</v>
      </c>
      <c r="Q102" s="47">
        <f>N102*(1+Input!$B$36)</f>
        <v>297.67500000000001</v>
      </c>
      <c r="R102" s="47">
        <f>O102*(1+Input!$B$36)</f>
        <v>297.67500000000001</v>
      </c>
      <c r="S102" s="47">
        <f>P102*(1+Input!$B$36)</f>
        <v>312.55875000000003</v>
      </c>
      <c r="T102" s="47">
        <f>Q102*(1+Input!$B$36)</f>
        <v>312.55875000000003</v>
      </c>
      <c r="U102" s="47">
        <f>R102*(1+Input!$B$36)</f>
        <v>312.55875000000003</v>
      </c>
      <c r="V102" s="47">
        <f>S102*(1+Input!$B$36)</f>
        <v>328.18668750000006</v>
      </c>
      <c r="W102" s="47">
        <f>T102*(1+Input!$B$36)</f>
        <v>328.18668750000006</v>
      </c>
      <c r="X102" s="47">
        <f>U102*(1+Input!$B$36)</f>
        <v>328.18668750000006</v>
      </c>
      <c r="Y102" s="47">
        <f>V102*(1+Input!$B$36)</f>
        <v>344.59602187500008</v>
      </c>
      <c r="Z102" s="47">
        <f>W102*(1+Input!$B$36)</f>
        <v>344.59602187500008</v>
      </c>
      <c r="AA102" s="47">
        <f>X102*(1+Input!$B$36)</f>
        <v>344.59602187500008</v>
      </c>
      <c r="AB102" s="47">
        <f>Y102*(1+Input!$B$36)</f>
        <v>361.82582296875012</v>
      </c>
      <c r="AC102" s="47">
        <f>Z102*(1+Input!$B$36)</f>
        <v>361.82582296875012</v>
      </c>
      <c r="AD102" s="47">
        <f>AA102*(1+Input!$B$36)</f>
        <v>361.82582296875012</v>
      </c>
      <c r="AE102" s="47">
        <f>AB102*(1+Input!$B$36)</f>
        <v>379.91711411718762</v>
      </c>
      <c r="AF102" s="47">
        <f>AC102*(1+Input!$B$36)</f>
        <v>379.91711411718762</v>
      </c>
      <c r="AG102" s="47">
        <f>AD102*(1+Input!$B$36)</f>
        <v>379.91711411718762</v>
      </c>
      <c r="AH102" s="47">
        <f>AE102*(1+Input!$B$36)</f>
        <v>398.91296982304704</v>
      </c>
      <c r="AI102" s="47">
        <f>AF102*(1+Input!$B$36)</f>
        <v>398.91296982304704</v>
      </c>
      <c r="AJ102" s="47">
        <f>AG102*(1+Input!$B$36)</f>
        <v>398.91296982304704</v>
      </c>
      <c r="AK102" s="47" t="s">
        <v>98</v>
      </c>
    </row>
    <row r="103" spans="5:37" x14ac:dyDescent="0.25">
      <c r="E103" s="64" t="str">
        <f>Input!A196</f>
        <v>Year 3</v>
      </c>
      <c r="F103" s="57">
        <f>Input!B196</f>
        <v>50</v>
      </c>
      <c r="J103" s="47">
        <f>$F103*Input!$B$33*Input!$B$28*Input!$B$11</f>
        <v>270</v>
      </c>
      <c r="K103" s="47">
        <f>$F103*Input!$B$33*Input!$B$28*Input!$B$11</f>
        <v>270</v>
      </c>
      <c r="L103" s="47">
        <f>$F103*Input!$B$33*Input!$B$28*Input!$B$11</f>
        <v>270</v>
      </c>
      <c r="M103" s="47">
        <f>J103*(1+Input!$B$36)</f>
        <v>283.5</v>
      </c>
      <c r="N103" s="47">
        <f>K103*(1+Input!$B$36)</f>
        <v>283.5</v>
      </c>
      <c r="O103" s="47">
        <f>L103*(1+Input!$B$36)</f>
        <v>283.5</v>
      </c>
      <c r="P103" s="47">
        <f>M103*(1+Input!$B$36)</f>
        <v>297.67500000000001</v>
      </c>
      <c r="Q103" s="47">
        <f>N103*(1+Input!$B$36)</f>
        <v>297.67500000000001</v>
      </c>
      <c r="R103" s="47">
        <f>O103*(1+Input!$B$36)</f>
        <v>297.67500000000001</v>
      </c>
      <c r="S103" s="47">
        <f>P103*(1+Input!$B$36)</f>
        <v>312.55875000000003</v>
      </c>
      <c r="T103" s="47">
        <f>Q103*(1+Input!$B$36)</f>
        <v>312.55875000000003</v>
      </c>
      <c r="U103" s="47">
        <f>R103*(1+Input!$B$36)</f>
        <v>312.55875000000003</v>
      </c>
      <c r="V103" s="47">
        <f>S103*(1+Input!$B$36)</f>
        <v>328.18668750000006</v>
      </c>
      <c r="W103" s="47">
        <f>T103*(1+Input!$B$36)</f>
        <v>328.18668750000006</v>
      </c>
      <c r="X103" s="47">
        <f>U103*(1+Input!$B$36)</f>
        <v>328.18668750000006</v>
      </c>
      <c r="Y103" s="47">
        <f>V103*(1+Input!$B$36)</f>
        <v>344.59602187500008</v>
      </c>
      <c r="Z103" s="47">
        <f>W103*(1+Input!$B$36)</f>
        <v>344.59602187500008</v>
      </c>
      <c r="AA103" s="47">
        <f>X103*(1+Input!$B$36)</f>
        <v>344.59602187500008</v>
      </c>
      <c r="AB103" s="47">
        <f>Y103*(1+Input!$B$36)</f>
        <v>361.82582296875012</v>
      </c>
      <c r="AC103" s="47">
        <f>Z103*(1+Input!$B$36)</f>
        <v>361.82582296875012</v>
      </c>
      <c r="AD103" s="47">
        <f>AA103*(1+Input!$B$36)</f>
        <v>361.82582296875012</v>
      </c>
      <c r="AE103" s="47">
        <f>AB103*(1+Input!$B$36)</f>
        <v>379.91711411718762</v>
      </c>
      <c r="AF103" s="47">
        <f>AC103*(1+Input!$B$36)</f>
        <v>379.91711411718762</v>
      </c>
      <c r="AG103" s="47">
        <f>AD103*(1+Input!$B$36)</f>
        <v>379.91711411718762</v>
      </c>
      <c r="AH103" s="47">
        <f>AE103*(1+Input!$B$36)</f>
        <v>398.91296982304704</v>
      </c>
      <c r="AI103" s="47">
        <f>AF103*(1+Input!$B$36)</f>
        <v>398.91296982304704</v>
      </c>
      <c r="AJ103" s="47">
        <f>AG103*(1+Input!$B$36)</f>
        <v>398.91296982304704</v>
      </c>
      <c r="AK103" s="47" t="s">
        <v>98</v>
      </c>
    </row>
    <row r="104" spans="5:37" x14ac:dyDescent="0.25">
      <c r="E104" s="64" t="str">
        <f>Input!A197</f>
        <v>Year 4</v>
      </c>
      <c r="F104" s="57">
        <f>Input!B197</f>
        <v>50</v>
      </c>
      <c r="J104" s="47">
        <f>$F104*Input!$B$33*Input!$B$28*Input!$B$11</f>
        <v>270</v>
      </c>
      <c r="K104" s="47">
        <f>$F104*Input!$B$33*Input!$B$28*Input!$B$11</f>
        <v>270</v>
      </c>
      <c r="L104" s="47">
        <f>$F104*Input!$B$33*Input!$B$28*Input!$B$11</f>
        <v>270</v>
      </c>
      <c r="M104" s="47">
        <f>J104*(1+Input!$B$36)</f>
        <v>283.5</v>
      </c>
      <c r="N104" s="47">
        <f>K104*(1+Input!$B$36)</f>
        <v>283.5</v>
      </c>
      <c r="O104" s="47">
        <f>L104*(1+Input!$B$36)</f>
        <v>283.5</v>
      </c>
      <c r="P104" s="47">
        <f>M104*(1+Input!$B$36)</f>
        <v>297.67500000000001</v>
      </c>
      <c r="Q104" s="47">
        <f>N104*(1+Input!$B$36)</f>
        <v>297.67500000000001</v>
      </c>
      <c r="R104" s="47">
        <f>O104*(1+Input!$B$36)</f>
        <v>297.67500000000001</v>
      </c>
      <c r="S104" s="47">
        <f>P104*(1+Input!$B$36)</f>
        <v>312.55875000000003</v>
      </c>
      <c r="T104" s="47">
        <f>Q104*(1+Input!$B$36)</f>
        <v>312.55875000000003</v>
      </c>
      <c r="U104" s="47">
        <f>R104*(1+Input!$B$36)</f>
        <v>312.55875000000003</v>
      </c>
      <c r="V104" s="47">
        <f>S104*(1+Input!$B$36)</f>
        <v>328.18668750000006</v>
      </c>
      <c r="W104" s="47">
        <f>T104*(1+Input!$B$36)</f>
        <v>328.18668750000006</v>
      </c>
      <c r="X104" s="47">
        <f>U104*(1+Input!$B$36)</f>
        <v>328.18668750000006</v>
      </c>
      <c r="Y104" s="47">
        <f>V104*(1+Input!$B$36)</f>
        <v>344.59602187500008</v>
      </c>
      <c r="Z104" s="47">
        <f>W104*(1+Input!$B$36)</f>
        <v>344.59602187500008</v>
      </c>
      <c r="AA104" s="47">
        <f>X104*(1+Input!$B$36)</f>
        <v>344.59602187500008</v>
      </c>
      <c r="AB104" s="47">
        <f>Y104*(1+Input!$B$36)</f>
        <v>361.82582296875012</v>
      </c>
      <c r="AC104" s="47">
        <f>Z104*(1+Input!$B$36)</f>
        <v>361.82582296875012</v>
      </c>
      <c r="AD104" s="47">
        <f>AA104*(1+Input!$B$36)</f>
        <v>361.82582296875012</v>
      </c>
      <c r="AE104" s="47">
        <f>AB104*(1+Input!$B$36)</f>
        <v>379.91711411718762</v>
      </c>
      <c r="AF104" s="47">
        <f>AC104*(1+Input!$B$36)</f>
        <v>379.91711411718762</v>
      </c>
      <c r="AG104" s="47">
        <f>AD104*(1+Input!$B$36)</f>
        <v>379.91711411718762</v>
      </c>
      <c r="AH104" s="47">
        <f>AE104*(1+Input!$B$36)</f>
        <v>398.91296982304704</v>
      </c>
      <c r="AI104" s="47">
        <f>AF104*(1+Input!$B$36)</f>
        <v>398.91296982304704</v>
      </c>
      <c r="AJ104" s="47">
        <f>AG104*(1+Input!$B$36)</f>
        <v>398.91296982304704</v>
      </c>
      <c r="AK104" s="47" t="s">
        <v>98</v>
      </c>
    </row>
    <row r="105" spans="5:37" x14ac:dyDescent="0.25">
      <c r="E105" s="64" t="str">
        <f>Input!A198</f>
        <v>Year 5</v>
      </c>
      <c r="F105" s="57">
        <f>Input!B198</f>
        <v>50</v>
      </c>
      <c r="J105" s="47">
        <f>$F105*Input!$B$33*Input!$B$28*Input!$B$11</f>
        <v>270</v>
      </c>
      <c r="K105" s="47">
        <f>$F105*Input!$B$33*Input!$B$28*Input!$B$11</f>
        <v>270</v>
      </c>
      <c r="L105" s="47">
        <f>$F105*Input!$B$33*Input!$B$28*Input!$B$11</f>
        <v>270</v>
      </c>
      <c r="M105" s="47">
        <f>J105*(1+Input!$B$36)</f>
        <v>283.5</v>
      </c>
      <c r="N105" s="47">
        <f>K105*(1+Input!$B$36)</f>
        <v>283.5</v>
      </c>
      <c r="O105" s="47">
        <f>L105*(1+Input!$B$36)</f>
        <v>283.5</v>
      </c>
      <c r="P105" s="47">
        <f>M105*(1+Input!$B$36)</f>
        <v>297.67500000000001</v>
      </c>
      <c r="Q105" s="47">
        <f>N105*(1+Input!$B$36)</f>
        <v>297.67500000000001</v>
      </c>
      <c r="R105" s="47">
        <f>O105*(1+Input!$B$36)</f>
        <v>297.67500000000001</v>
      </c>
      <c r="S105" s="47">
        <f>P105*(1+Input!$B$36)</f>
        <v>312.55875000000003</v>
      </c>
      <c r="T105" s="47">
        <f>Q105*(1+Input!$B$36)</f>
        <v>312.55875000000003</v>
      </c>
      <c r="U105" s="47">
        <f>R105*(1+Input!$B$36)</f>
        <v>312.55875000000003</v>
      </c>
      <c r="V105" s="47">
        <f>S105*(1+Input!$B$36)</f>
        <v>328.18668750000006</v>
      </c>
      <c r="W105" s="47">
        <f>T105*(1+Input!$B$36)</f>
        <v>328.18668750000006</v>
      </c>
      <c r="X105" s="47">
        <f>U105*(1+Input!$B$36)</f>
        <v>328.18668750000006</v>
      </c>
      <c r="Y105" s="47">
        <f>V105*(1+Input!$B$36)</f>
        <v>344.59602187500008</v>
      </c>
      <c r="Z105" s="47">
        <f>W105*(1+Input!$B$36)</f>
        <v>344.59602187500008</v>
      </c>
      <c r="AA105" s="47">
        <f>X105*(1+Input!$B$36)</f>
        <v>344.59602187500008</v>
      </c>
      <c r="AB105" s="47">
        <f>Y105*(1+Input!$B$36)</f>
        <v>361.82582296875012</v>
      </c>
      <c r="AC105" s="47">
        <f>Z105*(1+Input!$B$36)</f>
        <v>361.82582296875012</v>
      </c>
      <c r="AD105" s="47">
        <f>AA105*(1+Input!$B$36)</f>
        <v>361.82582296875012</v>
      </c>
      <c r="AE105" s="47">
        <f>AB105*(1+Input!$B$36)</f>
        <v>379.91711411718762</v>
      </c>
      <c r="AF105" s="47">
        <f>AC105*(1+Input!$B$36)</f>
        <v>379.91711411718762</v>
      </c>
      <c r="AG105" s="47">
        <f>AD105*(1+Input!$B$36)</f>
        <v>379.91711411718762</v>
      </c>
      <c r="AH105" s="47">
        <f>AE105*(1+Input!$B$36)</f>
        <v>398.91296982304704</v>
      </c>
      <c r="AI105" s="47">
        <f>AF105*(1+Input!$B$36)</f>
        <v>398.91296982304704</v>
      </c>
      <c r="AJ105" s="47">
        <f>AG105*(1+Input!$B$36)</f>
        <v>398.91296982304704</v>
      </c>
      <c r="AK105" s="47" t="s">
        <v>98</v>
      </c>
    </row>
    <row r="106" spans="5:37" x14ac:dyDescent="0.25">
      <c r="E106" s="64" t="str">
        <f>Input!A199</f>
        <v>Year 6</v>
      </c>
      <c r="F106" s="57">
        <f>Input!B199</f>
        <v>50</v>
      </c>
      <c r="J106" s="47">
        <f>$F106*Input!$B$33*Input!$B$28*Input!$B$11</f>
        <v>270</v>
      </c>
      <c r="K106" s="47">
        <f>$F106*Input!$B$33*Input!$B$28*Input!$B$11</f>
        <v>270</v>
      </c>
      <c r="L106" s="47">
        <f>$F106*Input!$B$33*Input!$B$28*Input!$B$11</f>
        <v>270</v>
      </c>
      <c r="M106" s="47">
        <f>J106*(1+Input!$B$36)</f>
        <v>283.5</v>
      </c>
      <c r="N106" s="47">
        <f>K106*(1+Input!$B$36)</f>
        <v>283.5</v>
      </c>
      <c r="O106" s="47">
        <f>L106*(1+Input!$B$36)</f>
        <v>283.5</v>
      </c>
      <c r="P106" s="47">
        <f>M106*(1+Input!$B$36)</f>
        <v>297.67500000000001</v>
      </c>
      <c r="Q106" s="47">
        <f>N106*(1+Input!$B$36)</f>
        <v>297.67500000000001</v>
      </c>
      <c r="R106" s="47">
        <f>O106*(1+Input!$B$36)</f>
        <v>297.67500000000001</v>
      </c>
      <c r="S106" s="47">
        <f>P106*(1+Input!$B$36)</f>
        <v>312.55875000000003</v>
      </c>
      <c r="T106" s="47">
        <f>Q106*(1+Input!$B$36)</f>
        <v>312.55875000000003</v>
      </c>
      <c r="U106" s="47">
        <f>R106*(1+Input!$B$36)</f>
        <v>312.55875000000003</v>
      </c>
      <c r="V106" s="47">
        <f>S106*(1+Input!$B$36)</f>
        <v>328.18668750000006</v>
      </c>
      <c r="W106" s="47">
        <f>T106*(1+Input!$B$36)</f>
        <v>328.18668750000006</v>
      </c>
      <c r="X106" s="47">
        <f>U106*(1+Input!$B$36)</f>
        <v>328.18668750000006</v>
      </c>
      <c r="Y106" s="47">
        <f>V106*(1+Input!$B$36)</f>
        <v>344.59602187500008</v>
      </c>
      <c r="Z106" s="47">
        <f>W106*(1+Input!$B$36)</f>
        <v>344.59602187500008</v>
      </c>
      <c r="AA106" s="47">
        <f>X106*(1+Input!$B$36)</f>
        <v>344.59602187500008</v>
      </c>
      <c r="AB106" s="47">
        <f>Y106*(1+Input!$B$36)</f>
        <v>361.82582296875012</v>
      </c>
      <c r="AC106" s="47">
        <f>Z106*(1+Input!$B$36)</f>
        <v>361.82582296875012</v>
      </c>
      <c r="AD106" s="47">
        <f>AA106*(1+Input!$B$36)</f>
        <v>361.82582296875012</v>
      </c>
      <c r="AE106" s="47">
        <f>AB106*(1+Input!$B$36)</f>
        <v>379.91711411718762</v>
      </c>
      <c r="AF106" s="47">
        <f>AC106*(1+Input!$B$36)</f>
        <v>379.91711411718762</v>
      </c>
      <c r="AG106" s="47">
        <f>AD106*(1+Input!$B$36)</f>
        <v>379.91711411718762</v>
      </c>
      <c r="AH106" s="47">
        <f>AE106*(1+Input!$B$36)</f>
        <v>398.91296982304704</v>
      </c>
      <c r="AI106" s="47">
        <f>AF106*(1+Input!$B$36)</f>
        <v>398.91296982304704</v>
      </c>
      <c r="AJ106" s="47">
        <f>AG106*(1+Input!$B$36)</f>
        <v>398.91296982304704</v>
      </c>
      <c r="AK106" s="47" t="s">
        <v>98</v>
      </c>
    </row>
    <row r="107" spans="5:37" x14ac:dyDescent="0.25">
      <c r="E107" s="64" t="str">
        <f>Input!A200</f>
        <v>Year 7</v>
      </c>
      <c r="F107" s="57">
        <f>Input!B200</f>
        <v>50</v>
      </c>
      <c r="J107" s="47">
        <f>$F107*Input!$B$33*Input!$B$28*Input!$B$11</f>
        <v>270</v>
      </c>
      <c r="K107" s="47">
        <f>$F107*Input!$B$33*Input!$B$28*Input!$B$11</f>
        <v>270</v>
      </c>
      <c r="L107" s="47">
        <f>$F107*Input!$B$33*Input!$B$28*Input!$B$11</f>
        <v>270</v>
      </c>
      <c r="M107" s="47">
        <f>J107*(1+Input!$B$36)</f>
        <v>283.5</v>
      </c>
      <c r="N107" s="47">
        <f>K107*(1+Input!$B$36)</f>
        <v>283.5</v>
      </c>
      <c r="O107" s="47">
        <f>L107*(1+Input!$B$36)</f>
        <v>283.5</v>
      </c>
      <c r="P107" s="47">
        <f>M107*(1+Input!$B$36)</f>
        <v>297.67500000000001</v>
      </c>
      <c r="Q107" s="47">
        <f>N107*(1+Input!$B$36)</f>
        <v>297.67500000000001</v>
      </c>
      <c r="R107" s="47">
        <f>O107*(1+Input!$B$36)</f>
        <v>297.67500000000001</v>
      </c>
      <c r="S107" s="47">
        <f>P107*(1+Input!$B$36)</f>
        <v>312.55875000000003</v>
      </c>
      <c r="T107" s="47">
        <f>Q107*(1+Input!$B$36)</f>
        <v>312.55875000000003</v>
      </c>
      <c r="U107" s="47">
        <f>R107*(1+Input!$B$36)</f>
        <v>312.55875000000003</v>
      </c>
      <c r="V107" s="47">
        <f>S107*(1+Input!$B$36)</f>
        <v>328.18668750000006</v>
      </c>
      <c r="W107" s="47">
        <f>T107*(1+Input!$B$36)</f>
        <v>328.18668750000006</v>
      </c>
      <c r="X107" s="47">
        <f>U107*(1+Input!$B$36)</f>
        <v>328.18668750000006</v>
      </c>
      <c r="Y107" s="47">
        <f>V107*(1+Input!$B$36)</f>
        <v>344.59602187500008</v>
      </c>
      <c r="Z107" s="47">
        <f>W107*(1+Input!$B$36)</f>
        <v>344.59602187500008</v>
      </c>
      <c r="AA107" s="47">
        <f>X107*(1+Input!$B$36)</f>
        <v>344.59602187500008</v>
      </c>
      <c r="AB107" s="47">
        <f>Y107*(1+Input!$B$36)</f>
        <v>361.82582296875012</v>
      </c>
      <c r="AC107" s="47">
        <f>Z107*(1+Input!$B$36)</f>
        <v>361.82582296875012</v>
      </c>
      <c r="AD107" s="47">
        <f>AA107*(1+Input!$B$36)</f>
        <v>361.82582296875012</v>
      </c>
      <c r="AE107" s="47">
        <f>AB107*(1+Input!$B$36)</f>
        <v>379.91711411718762</v>
      </c>
      <c r="AF107" s="47">
        <f>AC107*(1+Input!$B$36)</f>
        <v>379.91711411718762</v>
      </c>
      <c r="AG107" s="47">
        <f>AD107*(1+Input!$B$36)</f>
        <v>379.91711411718762</v>
      </c>
      <c r="AH107" s="47">
        <f>AE107*(1+Input!$B$36)</f>
        <v>398.91296982304704</v>
      </c>
      <c r="AI107" s="47">
        <f>AF107*(1+Input!$B$36)</f>
        <v>398.91296982304704</v>
      </c>
      <c r="AJ107" s="47">
        <f>AG107*(1+Input!$B$36)</f>
        <v>398.91296982304704</v>
      </c>
      <c r="AK107" s="47" t="s">
        <v>98</v>
      </c>
    </row>
    <row r="108" spans="5:37" x14ac:dyDescent="0.25">
      <c r="E108" s="64" t="str">
        <f>Input!A201</f>
        <v>Year 8</v>
      </c>
      <c r="F108" s="57">
        <f>Input!B201</f>
        <v>50</v>
      </c>
      <c r="J108" s="47">
        <f>$F108*Input!$B$33*Input!$B$28*Input!$B$11</f>
        <v>270</v>
      </c>
      <c r="K108" s="47">
        <f>$F108*Input!$B$33*Input!$B$28*Input!$B$11</f>
        <v>270</v>
      </c>
      <c r="L108" s="47">
        <f>$F108*Input!$B$33*Input!$B$28*Input!$B$11</f>
        <v>270</v>
      </c>
      <c r="M108" s="47">
        <f>J108*(1+Input!$B$36)</f>
        <v>283.5</v>
      </c>
      <c r="N108" s="47">
        <f>K108*(1+Input!$B$36)</f>
        <v>283.5</v>
      </c>
      <c r="O108" s="47">
        <f>L108*(1+Input!$B$36)</f>
        <v>283.5</v>
      </c>
      <c r="P108" s="47">
        <f>M108*(1+Input!$B$36)</f>
        <v>297.67500000000001</v>
      </c>
      <c r="Q108" s="47">
        <f>N108*(1+Input!$B$36)</f>
        <v>297.67500000000001</v>
      </c>
      <c r="R108" s="47">
        <f>O108*(1+Input!$B$36)</f>
        <v>297.67500000000001</v>
      </c>
      <c r="S108" s="47">
        <f>P108*(1+Input!$B$36)</f>
        <v>312.55875000000003</v>
      </c>
      <c r="T108" s="47">
        <f>Q108*(1+Input!$B$36)</f>
        <v>312.55875000000003</v>
      </c>
      <c r="U108" s="47">
        <f>R108*(1+Input!$B$36)</f>
        <v>312.55875000000003</v>
      </c>
      <c r="V108" s="47">
        <f>S108*(1+Input!$B$36)</f>
        <v>328.18668750000006</v>
      </c>
      <c r="W108" s="47">
        <f>T108*(1+Input!$B$36)</f>
        <v>328.18668750000006</v>
      </c>
      <c r="X108" s="47">
        <f>U108*(1+Input!$B$36)</f>
        <v>328.18668750000006</v>
      </c>
      <c r="Y108" s="47">
        <f>V108*(1+Input!$B$36)</f>
        <v>344.59602187500008</v>
      </c>
      <c r="Z108" s="47">
        <f>W108*(1+Input!$B$36)</f>
        <v>344.59602187500008</v>
      </c>
      <c r="AA108" s="47">
        <f>X108*(1+Input!$B$36)</f>
        <v>344.59602187500008</v>
      </c>
      <c r="AB108" s="47">
        <f>Y108*(1+Input!$B$36)</f>
        <v>361.82582296875012</v>
      </c>
      <c r="AC108" s="47">
        <f>Z108*(1+Input!$B$36)</f>
        <v>361.82582296875012</v>
      </c>
      <c r="AD108" s="47">
        <f>AA108*(1+Input!$B$36)</f>
        <v>361.82582296875012</v>
      </c>
      <c r="AE108" s="47">
        <f>AB108*(1+Input!$B$36)</f>
        <v>379.91711411718762</v>
      </c>
      <c r="AF108" s="47">
        <f>AC108*(1+Input!$B$36)</f>
        <v>379.91711411718762</v>
      </c>
      <c r="AG108" s="47">
        <f>AD108*(1+Input!$B$36)</f>
        <v>379.91711411718762</v>
      </c>
      <c r="AH108" s="47">
        <f>AE108*(1+Input!$B$36)</f>
        <v>398.91296982304704</v>
      </c>
      <c r="AI108" s="47">
        <f>AF108*(1+Input!$B$36)</f>
        <v>398.91296982304704</v>
      </c>
      <c r="AJ108" s="47">
        <f>AG108*(1+Input!$B$36)</f>
        <v>398.91296982304704</v>
      </c>
      <c r="AK108" s="47" t="s">
        <v>98</v>
      </c>
    </row>
    <row r="109" spans="5:37" x14ac:dyDescent="0.25">
      <c r="E109" s="64" t="str">
        <f>Input!A202</f>
        <v>Year 9</v>
      </c>
      <c r="F109" s="57">
        <f>Input!B202</f>
        <v>50</v>
      </c>
      <c r="J109" s="47">
        <f>$F109*Input!$B$33*Input!$B$28*Input!$B$11</f>
        <v>270</v>
      </c>
      <c r="K109" s="47">
        <f>$F109*Input!$B$33*Input!$B$28*Input!$B$11</f>
        <v>270</v>
      </c>
      <c r="L109" s="47">
        <f>$F109*Input!$B$33*Input!$B$28*Input!$B$11</f>
        <v>270</v>
      </c>
      <c r="M109" s="47">
        <f>J109*(1+Input!$B$36)</f>
        <v>283.5</v>
      </c>
      <c r="N109" s="47">
        <f>K109*(1+Input!$B$36)</f>
        <v>283.5</v>
      </c>
      <c r="O109" s="47">
        <f>L109*(1+Input!$B$36)</f>
        <v>283.5</v>
      </c>
      <c r="P109" s="47">
        <f>M109*(1+Input!$B$36)</f>
        <v>297.67500000000001</v>
      </c>
      <c r="Q109" s="47">
        <f>N109*(1+Input!$B$36)</f>
        <v>297.67500000000001</v>
      </c>
      <c r="R109" s="47">
        <f>O109*(1+Input!$B$36)</f>
        <v>297.67500000000001</v>
      </c>
      <c r="S109" s="47">
        <f>P109*(1+Input!$B$36)</f>
        <v>312.55875000000003</v>
      </c>
      <c r="T109" s="47">
        <f>Q109*(1+Input!$B$36)</f>
        <v>312.55875000000003</v>
      </c>
      <c r="U109" s="47">
        <f>R109*(1+Input!$B$36)</f>
        <v>312.55875000000003</v>
      </c>
      <c r="V109" s="47">
        <f>S109*(1+Input!$B$36)</f>
        <v>328.18668750000006</v>
      </c>
      <c r="W109" s="47">
        <f>T109*(1+Input!$B$36)</f>
        <v>328.18668750000006</v>
      </c>
      <c r="X109" s="47">
        <f>U109*(1+Input!$B$36)</f>
        <v>328.18668750000006</v>
      </c>
      <c r="Y109" s="47">
        <f>V109*(1+Input!$B$36)</f>
        <v>344.59602187500008</v>
      </c>
      <c r="Z109" s="47">
        <f>W109*(1+Input!$B$36)</f>
        <v>344.59602187500008</v>
      </c>
      <c r="AA109" s="47">
        <f>X109*(1+Input!$B$36)</f>
        <v>344.59602187500008</v>
      </c>
      <c r="AB109" s="47">
        <f>Y109*(1+Input!$B$36)</f>
        <v>361.82582296875012</v>
      </c>
      <c r="AC109" s="47">
        <f>Z109*(1+Input!$B$36)</f>
        <v>361.82582296875012</v>
      </c>
      <c r="AD109" s="47">
        <f>AA109*(1+Input!$B$36)</f>
        <v>361.82582296875012</v>
      </c>
      <c r="AE109" s="47">
        <f>AB109*(1+Input!$B$36)</f>
        <v>379.91711411718762</v>
      </c>
      <c r="AF109" s="47">
        <f>AC109*(1+Input!$B$36)</f>
        <v>379.91711411718762</v>
      </c>
      <c r="AG109" s="47">
        <f>AD109*(1+Input!$B$36)</f>
        <v>379.91711411718762</v>
      </c>
      <c r="AH109" s="47">
        <f>AE109*(1+Input!$B$36)</f>
        <v>398.91296982304704</v>
      </c>
      <c r="AI109" s="47">
        <f>AF109*(1+Input!$B$36)</f>
        <v>398.91296982304704</v>
      </c>
      <c r="AJ109" s="47">
        <f>AG109*(1+Input!$B$36)</f>
        <v>398.91296982304704</v>
      </c>
      <c r="AK109" s="47" t="s">
        <v>98</v>
      </c>
    </row>
    <row r="110" spans="5:37" x14ac:dyDescent="0.25">
      <c r="E110" s="64" t="str">
        <f>Input!A203</f>
        <v>Year 10</v>
      </c>
      <c r="F110" s="57">
        <f>Input!B203</f>
        <v>50</v>
      </c>
      <c r="J110" s="47">
        <f>$F110*Input!$B$33*Input!$B$28*Input!$B$11</f>
        <v>270</v>
      </c>
      <c r="K110" s="47">
        <f>$F110*Input!$B$33*Input!$B$28*Input!$B$11</f>
        <v>270</v>
      </c>
      <c r="L110" s="47">
        <f>$F110*Input!$B$33*Input!$B$28*Input!$B$11</f>
        <v>270</v>
      </c>
      <c r="M110" s="47">
        <f>J110*(1+Input!$B$36)</f>
        <v>283.5</v>
      </c>
      <c r="N110" s="47">
        <f>K110*(1+Input!$B$36)</f>
        <v>283.5</v>
      </c>
      <c r="O110" s="47">
        <f>L110*(1+Input!$B$36)</f>
        <v>283.5</v>
      </c>
      <c r="P110" s="47">
        <f>M110*(1+Input!$B$36)</f>
        <v>297.67500000000001</v>
      </c>
      <c r="Q110" s="47">
        <f>N110*(1+Input!$B$36)</f>
        <v>297.67500000000001</v>
      </c>
      <c r="R110" s="47">
        <f>O110*(1+Input!$B$36)</f>
        <v>297.67500000000001</v>
      </c>
      <c r="S110" s="47">
        <f>P110*(1+Input!$B$36)</f>
        <v>312.55875000000003</v>
      </c>
      <c r="T110" s="47">
        <f>Q110*(1+Input!$B$36)</f>
        <v>312.55875000000003</v>
      </c>
      <c r="U110" s="47">
        <f>R110*(1+Input!$B$36)</f>
        <v>312.55875000000003</v>
      </c>
      <c r="V110" s="47">
        <f>S110*(1+Input!$B$36)</f>
        <v>328.18668750000006</v>
      </c>
      <c r="W110" s="47">
        <f>T110*(1+Input!$B$36)</f>
        <v>328.18668750000006</v>
      </c>
      <c r="X110" s="47">
        <f>U110*(1+Input!$B$36)</f>
        <v>328.18668750000006</v>
      </c>
      <c r="Y110" s="47">
        <f>V110*(1+Input!$B$36)</f>
        <v>344.59602187500008</v>
      </c>
      <c r="Z110" s="47">
        <f>W110*(1+Input!$B$36)</f>
        <v>344.59602187500008</v>
      </c>
      <c r="AA110" s="47">
        <f>X110*(1+Input!$B$36)</f>
        <v>344.59602187500008</v>
      </c>
      <c r="AB110" s="47">
        <f>Y110*(1+Input!$B$36)</f>
        <v>361.82582296875012</v>
      </c>
      <c r="AC110" s="47">
        <f>Z110*(1+Input!$B$36)</f>
        <v>361.82582296875012</v>
      </c>
      <c r="AD110" s="47">
        <f>AA110*(1+Input!$B$36)</f>
        <v>361.82582296875012</v>
      </c>
      <c r="AE110" s="47">
        <f>AB110*(1+Input!$B$36)</f>
        <v>379.91711411718762</v>
      </c>
      <c r="AF110" s="47">
        <f>AC110*(1+Input!$B$36)</f>
        <v>379.91711411718762</v>
      </c>
      <c r="AG110" s="47">
        <f>AD110*(1+Input!$B$36)</f>
        <v>379.91711411718762</v>
      </c>
      <c r="AH110" s="47">
        <f>AE110*(1+Input!$B$36)</f>
        <v>398.91296982304704</v>
      </c>
      <c r="AI110" s="47">
        <f>AF110*(1+Input!$B$36)</f>
        <v>398.91296982304704</v>
      </c>
      <c r="AJ110" s="47">
        <f>AG110*(1+Input!$B$36)</f>
        <v>398.91296982304704</v>
      </c>
      <c r="AK110" s="47" t="s">
        <v>98</v>
      </c>
    </row>
    <row r="111" spans="5:37" x14ac:dyDescent="0.25">
      <c r="E111" s="64" t="str">
        <f>Input!A204</f>
        <v>Year 11</v>
      </c>
      <c r="F111" s="57">
        <f>Input!B204</f>
        <v>50</v>
      </c>
      <c r="J111" s="47">
        <f>$F111*Input!$B$33*Input!$B$28*Input!$B$11</f>
        <v>270</v>
      </c>
      <c r="K111" s="47">
        <f>$F111*Input!$B$33*Input!$B$28*Input!$B$11</f>
        <v>270</v>
      </c>
      <c r="L111" s="47">
        <f>$F111*Input!$B$33*Input!$B$28*Input!$B$11</f>
        <v>270</v>
      </c>
      <c r="M111" s="47">
        <f>J111*(1+Input!$B$36)</f>
        <v>283.5</v>
      </c>
      <c r="N111" s="47">
        <f>K111*(1+Input!$B$36)</f>
        <v>283.5</v>
      </c>
      <c r="O111" s="47">
        <f>L111*(1+Input!$B$36)</f>
        <v>283.5</v>
      </c>
      <c r="P111" s="47">
        <f>M111*(1+Input!$B$36)</f>
        <v>297.67500000000001</v>
      </c>
      <c r="Q111" s="47">
        <f>N111*(1+Input!$B$36)</f>
        <v>297.67500000000001</v>
      </c>
      <c r="R111" s="47">
        <f>O111*(1+Input!$B$36)</f>
        <v>297.67500000000001</v>
      </c>
      <c r="S111" s="47">
        <f>P111*(1+Input!$B$36)</f>
        <v>312.55875000000003</v>
      </c>
      <c r="T111" s="47">
        <f>Q111*(1+Input!$B$36)</f>
        <v>312.55875000000003</v>
      </c>
      <c r="U111" s="47">
        <f>R111*(1+Input!$B$36)</f>
        <v>312.55875000000003</v>
      </c>
      <c r="V111" s="47">
        <f>S111*(1+Input!$B$36)</f>
        <v>328.18668750000006</v>
      </c>
      <c r="W111" s="47">
        <f>T111*(1+Input!$B$36)</f>
        <v>328.18668750000006</v>
      </c>
      <c r="X111" s="47">
        <f>U111*(1+Input!$B$36)</f>
        <v>328.18668750000006</v>
      </c>
      <c r="Y111" s="47">
        <f>V111*(1+Input!$B$36)</f>
        <v>344.59602187500008</v>
      </c>
      <c r="Z111" s="47">
        <f>W111*(1+Input!$B$36)</f>
        <v>344.59602187500008</v>
      </c>
      <c r="AA111" s="47">
        <f>X111*(1+Input!$B$36)</f>
        <v>344.59602187500008</v>
      </c>
      <c r="AB111" s="47">
        <f>Y111*(1+Input!$B$36)</f>
        <v>361.82582296875012</v>
      </c>
      <c r="AC111" s="47">
        <f>Z111*(1+Input!$B$36)</f>
        <v>361.82582296875012</v>
      </c>
      <c r="AD111" s="47">
        <f>AA111*(1+Input!$B$36)</f>
        <v>361.82582296875012</v>
      </c>
      <c r="AE111" s="47">
        <f>AB111*(1+Input!$B$36)</f>
        <v>379.91711411718762</v>
      </c>
      <c r="AF111" s="47">
        <f>AC111*(1+Input!$B$36)</f>
        <v>379.91711411718762</v>
      </c>
      <c r="AG111" s="47">
        <f>AD111*(1+Input!$B$36)</f>
        <v>379.91711411718762</v>
      </c>
      <c r="AH111" s="47">
        <f>AE111*(1+Input!$B$36)</f>
        <v>398.91296982304704</v>
      </c>
      <c r="AI111" s="47">
        <f>AF111*(1+Input!$B$36)</f>
        <v>398.91296982304704</v>
      </c>
      <c r="AJ111" s="47">
        <f>AG111*(1+Input!$B$36)</f>
        <v>398.91296982304704</v>
      </c>
      <c r="AK111" s="47" t="s">
        <v>98</v>
      </c>
    </row>
    <row r="112" spans="5:37" x14ac:dyDescent="0.25">
      <c r="E112" s="64" t="str">
        <f>Input!A205</f>
        <v>Year 12</v>
      </c>
      <c r="F112" s="57">
        <f>Input!B205</f>
        <v>50</v>
      </c>
      <c r="J112" s="47">
        <f>$F112*Input!$B$33*Input!$B$28*Input!$B$11</f>
        <v>270</v>
      </c>
      <c r="K112" s="47">
        <f>$F112*Input!$B$33*Input!$B$28*Input!$B$11</f>
        <v>270</v>
      </c>
      <c r="L112" s="47">
        <f>$F112*Input!$B$33*Input!$B$28*Input!$B$11</f>
        <v>270</v>
      </c>
      <c r="M112" s="47">
        <f>J112*(1+Input!$B$36)</f>
        <v>283.5</v>
      </c>
      <c r="N112" s="47">
        <f>K112*(1+Input!$B$36)</f>
        <v>283.5</v>
      </c>
      <c r="O112" s="47">
        <f>L112*(1+Input!$B$36)</f>
        <v>283.5</v>
      </c>
      <c r="P112" s="47">
        <f>M112*(1+Input!$B$36)</f>
        <v>297.67500000000001</v>
      </c>
      <c r="Q112" s="47">
        <f>N112*(1+Input!$B$36)</f>
        <v>297.67500000000001</v>
      </c>
      <c r="R112" s="47">
        <f>O112*(1+Input!$B$36)</f>
        <v>297.67500000000001</v>
      </c>
      <c r="S112" s="47">
        <f>P112*(1+Input!$B$36)</f>
        <v>312.55875000000003</v>
      </c>
      <c r="T112" s="47">
        <f>Q112*(1+Input!$B$36)</f>
        <v>312.55875000000003</v>
      </c>
      <c r="U112" s="47">
        <f>R112*(1+Input!$B$36)</f>
        <v>312.55875000000003</v>
      </c>
      <c r="V112" s="47">
        <f>S112*(1+Input!$B$36)</f>
        <v>328.18668750000006</v>
      </c>
      <c r="W112" s="47">
        <f>T112*(1+Input!$B$36)</f>
        <v>328.18668750000006</v>
      </c>
      <c r="X112" s="47">
        <f>U112*(1+Input!$B$36)</f>
        <v>328.18668750000006</v>
      </c>
      <c r="Y112" s="47">
        <f>V112*(1+Input!$B$36)</f>
        <v>344.59602187500008</v>
      </c>
      <c r="Z112" s="47">
        <f>W112*(1+Input!$B$36)</f>
        <v>344.59602187500008</v>
      </c>
      <c r="AA112" s="47">
        <f>X112*(1+Input!$B$36)</f>
        <v>344.59602187500008</v>
      </c>
      <c r="AB112" s="47">
        <f>Y112*(1+Input!$B$36)</f>
        <v>361.82582296875012</v>
      </c>
      <c r="AC112" s="47">
        <f>Z112*(1+Input!$B$36)</f>
        <v>361.82582296875012</v>
      </c>
      <c r="AD112" s="47">
        <f>AA112*(1+Input!$B$36)</f>
        <v>361.82582296875012</v>
      </c>
      <c r="AE112" s="47">
        <f>AB112*(1+Input!$B$36)</f>
        <v>379.91711411718762</v>
      </c>
      <c r="AF112" s="47">
        <f>AC112*(1+Input!$B$36)</f>
        <v>379.91711411718762</v>
      </c>
      <c r="AG112" s="47">
        <f>AD112*(1+Input!$B$36)</f>
        <v>379.91711411718762</v>
      </c>
      <c r="AH112" s="47">
        <f>AE112*(1+Input!$B$36)</f>
        <v>398.91296982304704</v>
      </c>
      <c r="AI112" s="47">
        <f>AF112*(1+Input!$B$36)</f>
        <v>398.91296982304704</v>
      </c>
      <c r="AJ112" s="47">
        <f>AG112*(1+Input!$B$36)</f>
        <v>398.91296982304704</v>
      </c>
      <c r="AK112" s="47" t="s">
        <v>98</v>
      </c>
    </row>
    <row r="113" spans="3:37" x14ac:dyDescent="0.25">
      <c r="E113" s="64" t="str">
        <f>Input!A206</f>
        <v>Year 13</v>
      </c>
      <c r="F113" s="57">
        <f>Input!B206</f>
        <v>50</v>
      </c>
      <c r="J113" s="47">
        <f>$F113*Input!$B$33*Input!$B$28*Input!$B$11</f>
        <v>270</v>
      </c>
      <c r="K113" s="47">
        <f>$F113*Input!$B$33*Input!$B$28*Input!$B$11</f>
        <v>270</v>
      </c>
      <c r="L113" s="47">
        <f>$F113*Input!$B$33*Input!$B$28*Input!$B$11</f>
        <v>270</v>
      </c>
      <c r="M113" s="47">
        <f>J113*(1+Input!$B$36)</f>
        <v>283.5</v>
      </c>
      <c r="N113" s="47">
        <f>K113*(1+Input!$B$36)</f>
        <v>283.5</v>
      </c>
      <c r="O113" s="47">
        <f>L113*(1+Input!$B$36)</f>
        <v>283.5</v>
      </c>
      <c r="P113" s="47">
        <f>M113*(1+Input!$B$36)</f>
        <v>297.67500000000001</v>
      </c>
      <c r="Q113" s="47">
        <f>N113*(1+Input!$B$36)</f>
        <v>297.67500000000001</v>
      </c>
      <c r="R113" s="47">
        <f>O113*(1+Input!$B$36)</f>
        <v>297.67500000000001</v>
      </c>
      <c r="S113" s="47">
        <f>P113*(1+Input!$B$36)</f>
        <v>312.55875000000003</v>
      </c>
      <c r="T113" s="47">
        <f>Q113*(1+Input!$B$36)</f>
        <v>312.55875000000003</v>
      </c>
      <c r="U113" s="47">
        <f>R113*(1+Input!$B$36)</f>
        <v>312.55875000000003</v>
      </c>
      <c r="V113" s="47">
        <f>S113*(1+Input!$B$36)</f>
        <v>328.18668750000006</v>
      </c>
      <c r="W113" s="47">
        <f>T113*(1+Input!$B$36)</f>
        <v>328.18668750000006</v>
      </c>
      <c r="X113" s="47">
        <f>U113*(1+Input!$B$36)</f>
        <v>328.18668750000006</v>
      </c>
      <c r="Y113" s="47">
        <f>V113*(1+Input!$B$36)</f>
        <v>344.59602187500008</v>
      </c>
      <c r="Z113" s="47">
        <f>W113*(1+Input!$B$36)</f>
        <v>344.59602187500008</v>
      </c>
      <c r="AA113" s="47">
        <f>X113*(1+Input!$B$36)</f>
        <v>344.59602187500008</v>
      </c>
      <c r="AB113" s="47">
        <f>Y113*(1+Input!$B$36)</f>
        <v>361.82582296875012</v>
      </c>
      <c r="AC113" s="47">
        <f>Z113*(1+Input!$B$36)</f>
        <v>361.82582296875012</v>
      </c>
      <c r="AD113" s="47">
        <f>AA113*(1+Input!$B$36)</f>
        <v>361.82582296875012</v>
      </c>
      <c r="AE113" s="47">
        <f>AB113*(1+Input!$B$36)</f>
        <v>379.91711411718762</v>
      </c>
      <c r="AF113" s="47">
        <f>AC113*(1+Input!$B$36)</f>
        <v>379.91711411718762</v>
      </c>
      <c r="AG113" s="47">
        <f>AD113*(1+Input!$B$36)</f>
        <v>379.91711411718762</v>
      </c>
      <c r="AH113" s="47">
        <f>AE113*(1+Input!$B$36)</f>
        <v>398.91296982304704</v>
      </c>
      <c r="AI113" s="47">
        <f>AF113*(1+Input!$B$36)</f>
        <v>398.91296982304704</v>
      </c>
      <c r="AJ113" s="47">
        <f>AG113*(1+Input!$B$36)</f>
        <v>398.91296982304704</v>
      </c>
      <c r="AK113" s="47" t="s">
        <v>98</v>
      </c>
    </row>
    <row r="114" spans="3:37" x14ac:dyDescent="0.25">
      <c r="E114" s="64" t="str">
        <f>Input!A207</f>
        <v>Year 14</v>
      </c>
      <c r="F114" s="57">
        <f>Input!B207</f>
        <v>50</v>
      </c>
      <c r="J114" s="47">
        <f>$F114*Input!$B$33*Input!$B$28*Input!$B$11</f>
        <v>270</v>
      </c>
      <c r="K114" s="47">
        <f>$F114*Input!$B$33*Input!$B$28*Input!$B$11</f>
        <v>270</v>
      </c>
      <c r="L114" s="47">
        <f>$F114*Input!$B$33*Input!$B$28*Input!$B$11</f>
        <v>270</v>
      </c>
      <c r="M114" s="47">
        <f>J114*(1+Input!$B$36)</f>
        <v>283.5</v>
      </c>
      <c r="N114" s="47">
        <f>K114*(1+Input!$B$36)</f>
        <v>283.5</v>
      </c>
      <c r="O114" s="47">
        <f>L114*(1+Input!$B$36)</f>
        <v>283.5</v>
      </c>
      <c r="P114" s="47">
        <f>M114*(1+Input!$B$36)</f>
        <v>297.67500000000001</v>
      </c>
      <c r="Q114" s="47">
        <f>N114*(1+Input!$B$36)</f>
        <v>297.67500000000001</v>
      </c>
      <c r="R114" s="47">
        <f>O114*(1+Input!$B$36)</f>
        <v>297.67500000000001</v>
      </c>
      <c r="S114" s="47">
        <f>P114*(1+Input!$B$36)</f>
        <v>312.55875000000003</v>
      </c>
      <c r="T114" s="47">
        <f>Q114*(1+Input!$B$36)</f>
        <v>312.55875000000003</v>
      </c>
      <c r="U114" s="47">
        <f>R114*(1+Input!$B$36)</f>
        <v>312.55875000000003</v>
      </c>
      <c r="V114" s="47">
        <f>S114*(1+Input!$B$36)</f>
        <v>328.18668750000006</v>
      </c>
      <c r="W114" s="47">
        <f>T114*(1+Input!$B$36)</f>
        <v>328.18668750000006</v>
      </c>
      <c r="X114" s="47">
        <f>U114*(1+Input!$B$36)</f>
        <v>328.18668750000006</v>
      </c>
      <c r="Y114" s="47">
        <f>V114*(1+Input!$B$36)</f>
        <v>344.59602187500008</v>
      </c>
      <c r="Z114" s="47">
        <f>W114*(1+Input!$B$36)</f>
        <v>344.59602187500008</v>
      </c>
      <c r="AA114" s="47">
        <f>X114*(1+Input!$B$36)</f>
        <v>344.59602187500008</v>
      </c>
      <c r="AB114" s="47">
        <f>Y114*(1+Input!$B$36)</f>
        <v>361.82582296875012</v>
      </c>
      <c r="AC114" s="47">
        <f>Z114*(1+Input!$B$36)</f>
        <v>361.82582296875012</v>
      </c>
      <c r="AD114" s="47">
        <f>AA114*(1+Input!$B$36)</f>
        <v>361.82582296875012</v>
      </c>
      <c r="AE114" s="47">
        <f>AB114*(1+Input!$B$36)</f>
        <v>379.91711411718762</v>
      </c>
      <c r="AF114" s="47">
        <f>AC114*(1+Input!$B$36)</f>
        <v>379.91711411718762</v>
      </c>
      <c r="AG114" s="47">
        <f>AD114*(1+Input!$B$36)</f>
        <v>379.91711411718762</v>
      </c>
      <c r="AH114" s="47">
        <f>AE114*(1+Input!$B$36)</f>
        <v>398.91296982304704</v>
      </c>
      <c r="AI114" s="47">
        <f>AF114*(1+Input!$B$36)</f>
        <v>398.91296982304704</v>
      </c>
      <c r="AJ114" s="47">
        <f>AG114*(1+Input!$B$36)</f>
        <v>398.91296982304704</v>
      </c>
      <c r="AK114" s="47" t="s">
        <v>98</v>
      </c>
    </row>
    <row r="115" spans="3:37" x14ac:dyDescent="0.25">
      <c r="E115" s="64" t="s">
        <v>107</v>
      </c>
      <c r="F115" s="57"/>
      <c r="J115" s="47">
        <f>SUM(J96:J114)</f>
        <v>5130</v>
      </c>
      <c r="K115" s="47">
        <f t="shared" ref="K115:AJ115" si="4">SUM(K96:K114)</f>
        <v>5130</v>
      </c>
      <c r="L115" s="47">
        <f t="shared" si="4"/>
        <v>5130</v>
      </c>
      <c r="M115" s="47">
        <f t="shared" si="4"/>
        <v>5386.5</v>
      </c>
      <c r="N115" s="47">
        <f t="shared" si="4"/>
        <v>5386.5</v>
      </c>
      <c r="O115" s="47">
        <f t="shared" si="4"/>
        <v>5386.5</v>
      </c>
      <c r="P115" s="47">
        <f t="shared" si="4"/>
        <v>5655.8250000000016</v>
      </c>
      <c r="Q115" s="47">
        <f t="shared" si="4"/>
        <v>5655.8250000000016</v>
      </c>
      <c r="R115" s="47">
        <f t="shared" si="4"/>
        <v>5655.8250000000016</v>
      </c>
      <c r="S115" s="47">
        <f t="shared" si="4"/>
        <v>5938.6162500000019</v>
      </c>
      <c r="T115" s="47">
        <f t="shared" si="4"/>
        <v>5938.6162500000019</v>
      </c>
      <c r="U115" s="47">
        <f t="shared" si="4"/>
        <v>5938.6162500000019</v>
      </c>
      <c r="V115" s="47">
        <f t="shared" si="4"/>
        <v>6235.547062499998</v>
      </c>
      <c r="W115" s="47">
        <f t="shared" si="4"/>
        <v>6235.547062499998</v>
      </c>
      <c r="X115" s="47">
        <f t="shared" si="4"/>
        <v>6235.547062499998</v>
      </c>
      <c r="Y115" s="47">
        <f t="shared" si="4"/>
        <v>6547.3244156249984</v>
      </c>
      <c r="Z115" s="47">
        <f t="shared" si="4"/>
        <v>6547.3244156249984</v>
      </c>
      <c r="AA115" s="47">
        <f t="shared" si="4"/>
        <v>6547.3244156249984</v>
      </c>
      <c r="AB115" s="47">
        <f t="shared" si="4"/>
        <v>6874.6906364062497</v>
      </c>
      <c r="AC115" s="47">
        <f t="shared" si="4"/>
        <v>6874.6906364062497</v>
      </c>
      <c r="AD115" s="47">
        <f t="shared" si="4"/>
        <v>6874.6906364062497</v>
      </c>
      <c r="AE115" s="47">
        <f t="shared" si="4"/>
        <v>7218.4251682265631</v>
      </c>
      <c r="AF115" s="47">
        <f t="shared" si="4"/>
        <v>7218.4251682265631</v>
      </c>
      <c r="AG115" s="47">
        <f t="shared" si="4"/>
        <v>7218.4251682265631</v>
      </c>
      <c r="AH115" s="47">
        <f t="shared" si="4"/>
        <v>7579.346426637896</v>
      </c>
      <c r="AI115" s="47">
        <f t="shared" si="4"/>
        <v>7579.346426637896</v>
      </c>
      <c r="AJ115" s="47">
        <f t="shared" si="4"/>
        <v>7579.346426637896</v>
      </c>
      <c r="AK115" s="47" t="s">
        <v>98</v>
      </c>
    </row>
    <row r="116" spans="3:37" x14ac:dyDescent="0.25">
      <c r="E116" s="64"/>
      <c r="F116" s="57"/>
    </row>
    <row r="117" spans="3:37" x14ac:dyDescent="0.25">
      <c r="C117" s="64" t="str">
        <f>Input!A209</f>
        <v>Exams</v>
      </c>
      <c r="E117" s="64"/>
      <c r="F117" s="57"/>
      <c r="AK117" s="47" t="s">
        <v>98</v>
      </c>
    </row>
    <row r="118" spans="3:37" x14ac:dyDescent="0.25">
      <c r="E118" s="64" t="str">
        <f>Input!A210</f>
        <v>Creche</v>
      </c>
      <c r="F118" s="57">
        <f>Input!B210</f>
        <v>43</v>
      </c>
      <c r="J118" s="47">
        <f>$F118*Input!$B$33*Input!$B$28*Input!$B$11</f>
        <v>232.2</v>
      </c>
      <c r="K118" s="47">
        <f>$F118*Input!$B$33*Input!$B$28*Input!$B$11</f>
        <v>232.2</v>
      </c>
      <c r="L118" s="47">
        <f>$F118*Input!$B$33*Input!$B$28*Input!$B$11</f>
        <v>232.2</v>
      </c>
      <c r="M118" s="47">
        <f>J118*(1+Input!$B$36)</f>
        <v>243.81</v>
      </c>
      <c r="N118" s="47">
        <f>K118*(1+Input!$B$36)</f>
        <v>243.81</v>
      </c>
      <c r="O118" s="47">
        <f>L118*(1+Input!$B$36)</f>
        <v>243.81</v>
      </c>
      <c r="P118" s="47">
        <f>M118*(1+Input!$B$36)</f>
        <v>256.00049999999999</v>
      </c>
      <c r="Q118" s="47">
        <f>N118*(1+Input!$B$36)</f>
        <v>256.00049999999999</v>
      </c>
      <c r="R118" s="47">
        <f>O118*(1+Input!$B$36)</f>
        <v>256.00049999999999</v>
      </c>
      <c r="S118" s="47">
        <f>P118*(1+Input!$B$36)</f>
        <v>268.80052499999999</v>
      </c>
      <c r="T118" s="47">
        <f>Q118*(1+Input!$B$36)</f>
        <v>268.80052499999999</v>
      </c>
      <c r="U118" s="47">
        <f>R118*(1+Input!$B$36)</f>
        <v>268.80052499999999</v>
      </c>
      <c r="V118" s="47">
        <f>S118*(1+Input!$B$36)</f>
        <v>282.24055125000001</v>
      </c>
      <c r="W118" s="47">
        <f>T118*(1+Input!$B$36)</f>
        <v>282.24055125000001</v>
      </c>
      <c r="X118" s="47">
        <f>U118*(1+Input!$B$36)</f>
        <v>282.24055125000001</v>
      </c>
      <c r="Y118" s="47">
        <f>V118*(1+Input!$B$36)</f>
        <v>296.35257881250004</v>
      </c>
      <c r="Z118" s="47">
        <f>W118*(1+Input!$B$36)</f>
        <v>296.35257881250004</v>
      </c>
      <c r="AA118" s="47">
        <f>X118*(1+Input!$B$36)</f>
        <v>296.35257881250004</v>
      </c>
      <c r="AB118" s="47">
        <f>Y118*(1+Input!$B$36)</f>
        <v>311.17020775312506</v>
      </c>
      <c r="AC118" s="47">
        <f>Z118*(1+Input!$B$36)</f>
        <v>311.17020775312506</v>
      </c>
      <c r="AD118" s="47">
        <f>AA118*(1+Input!$B$36)</f>
        <v>311.17020775312506</v>
      </c>
      <c r="AE118" s="47">
        <f>AB118*(1+Input!$B$36)</f>
        <v>326.72871814078133</v>
      </c>
      <c r="AF118" s="47">
        <f>AC118*(1+Input!$B$36)</f>
        <v>326.72871814078133</v>
      </c>
      <c r="AG118" s="47">
        <f>AD118*(1+Input!$B$36)</f>
        <v>326.72871814078133</v>
      </c>
      <c r="AH118" s="47">
        <f>AE118*(1+Input!$B$36)</f>
        <v>343.06515404782039</v>
      </c>
      <c r="AI118" s="47">
        <f>AF118*(1+Input!$B$36)</f>
        <v>343.06515404782039</v>
      </c>
      <c r="AJ118" s="47">
        <f>AG118*(1+Input!$B$36)</f>
        <v>343.06515404782039</v>
      </c>
      <c r="AK118" s="47" t="s">
        <v>98</v>
      </c>
    </row>
    <row r="119" spans="3:37" x14ac:dyDescent="0.25">
      <c r="E119" s="64" t="str">
        <f>Input!A211</f>
        <v>Playgroup</v>
      </c>
      <c r="F119" s="57">
        <f>Input!B211</f>
        <v>43</v>
      </c>
      <c r="J119" s="47">
        <f>$F119*Input!$B$33*Input!$B$28*Input!$B$11</f>
        <v>232.2</v>
      </c>
      <c r="K119" s="47">
        <f>$F119*Input!$B$33*Input!$B$28*Input!$B$11</f>
        <v>232.2</v>
      </c>
      <c r="L119" s="47">
        <f>$F119*Input!$B$33*Input!$B$28*Input!$B$11</f>
        <v>232.2</v>
      </c>
      <c r="M119" s="47">
        <f>J119*(1+Input!$B$36)</f>
        <v>243.81</v>
      </c>
      <c r="N119" s="47">
        <f>K119*(1+Input!$B$36)</f>
        <v>243.81</v>
      </c>
      <c r="O119" s="47">
        <f>L119*(1+Input!$B$36)</f>
        <v>243.81</v>
      </c>
      <c r="P119" s="47">
        <f>M119*(1+Input!$B$36)</f>
        <v>256.00049999999999</v>
      </c>
      <c r="Q119" s="47">
        <f>N119*(1+Input!$B$36)</f>
        <v>256.00049999999999</v>
      </c>
      <c r="R119" s="47">
        <f>O119*(1+Input!$B$36)</f>
        <v>256.00049999999999</v>
      </c>
      <c r="S119" s="47">
        <f>P119*(1+Input!$B$36)</f>
        <v>268.80052499999999</v>
      </c>
      <c r="T119" s="47">
        <f>Q119*(1+Input!$B$36)</f>
        <v>268.80052499999999</v>
      </c>
      <c r="U119" s="47">
        <f>R119*(1+Input!$B$36)</f>
        <v>268.80052499999999</v>
      </c>
      <c r="V119" s="47">
        <f>S119*(1+Input!$B$36)</f>
        <v>282.24055125000001</v>
      </c>
      <c r="W119" s="47">
        <f>T119*(1+Input!$B$36)</f>
        <v>282.24055125000001</v>
      </c>
      <c r="X119" s="47">
        <f>U119*(1+Input!$B$36)</f>
        <v>282.24055125000001</v>
      </c>
      <c r="Y119" s="47">
        <f>V119*(1+Input!$B$36)</f>
        <v>296.35257881250004</v>
      </c>
      <c r="Z119" s="47">
        <f>W119*(1+Input!$B$36)</f>
        <v>296.35257881250004</v>
      </c>
      <c r="AA119" s="47">
        <f>X119*(1+Input!$B$36)</f>
        <v>296.35257881250004</v>
      </c>
      <c r="AB119" s="47">
        <f>Y119*(1+Input!$B$36)</f>
        <v>311.17020775312506</v>
      </c>
      <c r="AC119" s="47">
        <f>Z119*(1+Input!$B$36)</f>
        <v>311.17020775312506</v>
      </c>
      <c r="AD119" s="47">
        <f>AA119*(1+Input!$B$36)</f>
        <v>311.17020775312506</v>
      </c>
      <c r="AE119" s="47">
        <f>AB119*(1+Input!$B$36)</f>
        <v>326.72871814078133</v>
      </c>
      <c r="AF119" s="47">
        <f>AC119*(1+Input!$B$36)</f>
        <v>326.72871814078133</v>
      </c>
      <c r="AG119" s="47">
        <f>AD119*(1+Input!$B$36)</f>
        <v>326.72871814078133</v>
      </c>
      <c r="AH119" s="47">
        <f>AE119*(1+Input!$B$36)</f>
        <v>343.06515404782039</v>
      </c>
      <c r="AI119" s="47">
        <f>AF119*(1+Input!$B$36)</f>
        <v>343.06515404782039</v>
      </c>
      <c r="AJ119" s="47">
        <f>AG119*(1+Input!$B$36)</f>
        <v>343.06515404782039</v>
      </c>
      <c r="AK119" s="47" t="s">
        <v>98</v>
      </c>
    </row>
    <row r="120" spans="3:37" x14ac:dyDescent="0.25">
      <c r="E120" s="64" t="str">
        <f>Input!A212</f>
        <v xml:space="preserve">Nursery </v>
      </c>
      <c r="F120" s="57">
        <f>Input!B212</f>
        <v>43</v>
      </c>
      <c r="J120" s="47">
        <f>$F120*Input!$B$33*Input!$B$28*Input!$B$11</f>
        <v>232.2</v>
      </c>
      <c r="K120" s="47">
        <f>$F120*Input!$B$33*Input!$B$28*Input!$B$11</f>
        <v>232.2</v>
      </c>
      <c r="L120" s="47">
        <f>$F120*Input!$B$33*Input!$B$28*Input!$B$11</f>
        <v>232.2</v>
      </c>
      <c r="M120" s="47">
        <f>J120*(1+Input!$B$36)</f>
        <v>243.81</v>
      </c>
      <c r="N120" s="47">
        <f>K120*(1+Input!$B$36)</f>
        <v>243.81</v>
      </c>
      <c r="O120" s="47">
        <f>L120*(1+Input!$B$36)</f>
        <v>243.81</v>
      </c>
      <c r="P120" s="47">
        <f>M120*(1+Input!$B$36)</f>
        <v>256.00049999999999</v>
      </c>
      <c r="Q120" s="47">
        <f>N120*(1+Input!$B$36)</f>
        <v>256.00049999999999</v>
      </c>
      <c r="R120" s="47">
        <f>O120*(1+Input!$B$36)</f>
        <v>256.00049999999999</v>
      </c>
      <c r="S120" s="47">
        <f>P120*(1+Input!$B$36)</f>
        <v>268.80052499999999</v>
      </c>
      <c r="T120" s="47">
        <f>Q120*(1+Input!$B$36)</f>
        <v>268.80052499999999</v>
      </c>
      <c r="U120" s="47">
        <f>R120*(1+Input!$B$36)</f>
        <v>268.80052499999999</v>
      </c>
      <c r="V120" s="47">
        <f>S120*(1+Input!$B$36)</f>
        <v>282.24055125000001</v>
      </c>
      <c r="W120" s="47">
        <f>T120*(1+Input!$B$36)</f>
        <v>282.24055125000001</v>
      </c>
      <c r="X120" s="47">
        <f>U120*(1+Input!$B$36)</f>
        <v>282.24055125000001</v>
      </c>
      <c r="Y120" s="47">
        <f>V120*(1+Input!$B$36)</f>
        <v>296.35257881250004</v>
      </c>
      <c r="Z120" s="47">
        <f>W120*(1+Input!$B$36)</f>
        <v>296.35257881250004</v>
      </c>
      <c r="AA120" s="47">
        <f>X120*(1+Input!$B$36)</f>
        <v>296.35257881250004</v>
      </c>
      <c r="AB120" s="47">
        <f>Y120*(1+Input!$B$36)</f>
        <v>311.17020775312506</v>
      </c>
      <c r="AC120" s="47">
        <f>Z120*(1+Input!$B$36)</f>
        <v>311.17020775312506</v>
      </c>
      <c r="AD120" s="47">
        <f>AA120*(1+Input!$B$36)</f>
        <v>311.17020775312506</v>
      </c>
      <c r="AE120" s="47">
        <f>AB120*(1+Input!$B$36)</f>
        <v>326.72871814078133</v>
      </c>
      <c r="AF120" s="47">
        <f>AC120*(1+Input!$B$36)</f>
        <v>326.72871814078133</v>
      </c>
      <c r="AG120" s="47">
        <f>AD120*(1+Input!$B$36)</f>
        <v>326.72871814078133</v>
      </c>
      <c r="AH120" s="47">
        <f>AE120*(1+Input!$B$36)</f>
        <v>343.06515404782039</v>
      </c>
      <c r="AI120" s="47">
        <f>AF120*(1+Input!$B$36)</f>
        <v>343.06515404782039</v>
      </c>
      <c r="AJ120" s="47">
        <f>AG120*(1+Input!$B$36)</f>
        <v>343.06515404782039</v>
      </c>
      <c r="AK120" s="47" t="s">
        <v>98</v>
      </c>
    </row>
    <row r="121" spans="3:37" x14ac:dyDescent="0.25">
      <c r="E121" s="64" t="str">
        <f>Input!A213</f>
        <v xml:space="preserve">Reception 1 </v>
      </c>
      <c r="F121" s="57">
        <f>Input!B213</f>
        <v>43</v>
      </c>
      <c r="J121" s="47">
        <f>$F121*Input!$B$33*Input!$B$28*Input!$B$11</f>
        <v>232.2</v>
      </c>
      <c r="K121" s="47">
        <f>$F121*Input!$B$33*Input!$B$28*Input!$B$11</f>
        <v>232.2</v>
      </c>
      <c r="L121" s="47">
        <f>$F121*Input!$B$33*Input!$B$28*Input!$B$11</f>
        <v>232.2</v>
      </c>
      <c r="M121" s="47">
        <f>J121*(1+Input!$B$36)</f>
        <v>243.81</v>
      </c>
      <c r="N121" s="47">
        <f>K121*(1+Input!$B$36)</f>
        <v>243.81</v>
      </c>
      <c r="O121" s="47">
        <f>L121*(1+Input!$B$36)</f>
        <v>243.81</v>
      </c>
      <c r="P121" s="47">
        <f>M121*(1+Input!$B$36)</f>
        <v>256.00049999999999</v>
      </c>
      <c r="Q121" s="47">
        <f>N121*(1+Input!$B$36)</f>
        <v>256.00049999999999</v>
      </c>
      <c r="R121" s="47">
        <f>O121*(1+Input!$B$36)</f>
        <v>256.00049999999999</v>
      </c>
      <c r="S121" s="47">
        <f>P121*(1+Input!$B$36)</f>
        <v>268.80052499999999</v>
      </c>
      <c r="T121" s="47">
        <f>Q121*(1+Input!$B$36)</f>
        <v>268.80052499999999</v>
      </c>
      <c r="U121" s="47">
        <f>R121*(1+Input!$B$36)</f>
        <v>268.80052499999999</v>
      </c>
      <c r="V121" s="47">
        <f>S121*(1+Input!$B$36)</f>
        <v>282.24055125000001</v>
      </c>
      <c r="W121" s="47">
        <f>T121*(1+Input!$B$36)</f>
        <v>282.24055125000001</v>
      </c>
      <c r="X121" s="47">
        <f>U121*(1+Input!$B$36)</f>
        <v>282.24055125000001</v>
      </c>
      <c r="Y121" s="47">
        <f>V121*(1+Input!$B$36)</f>
        <v>296.35257881250004</v>
      </c>
      <c r="Z121" s="47">
        <f>W121*(1+Input!$B$36)</f>
        <v>296.35257881250004</v>
      </c>
      <c r="AA121" s="47">
        <f>X121*(1+Input!$B$36)</f>
        <v>296.35257881250004</v>
      </c>
      <c r="AB121" s="47">
        <f>Y121*(1+Input!$B$36)</f>
        <v>311.17020775312506</v>
      </c>
      <c r="AC121" s="47">
        <f>Z121*(1+Input!$B$36)</f>
        <v>311.17020775312506</v>
      </c>
      <c r="AD121" s="47">
        <f>AA121*(1+Input!$B$36)</f>
        <v>311.17020775312506</v>
      </c>
      <c r="AE121" s="47">
        <f>AB121*(1+Input!$B$36)</f>
        <v>326.72871814078133</v>
      </c>
      <c r="AF121" s="47">
        <f>AC121*(1+Input!$B$36)</f>
        <v>326.72871814078133</v>
      </c>
      <c r="AG121" s="47">
        <f>AD121*(1+Input!$B$36)</f>
        <v>326.72871814078133</v>
      </c>
      <c r="AH121" s="47">
        <f>AE121*(1+Input!$B$36)</f>
        <v>343.06515404782039</v>
      </c>
      <c r="AI121" s="47">
        <f>AF121*(1+Input!$B$36)</f>
        <v>343.06515404782039</v>
      </c>
      <c r="AJ121" s="47">
        <f>AG121*(1+Input!$B$36)</f>
        <v>343.06515404782039</v>
      </c>
      <c r="AK121" s="47" t="s">
        <v>98</v>
      </c>
    </row>
    <row r="122" spans="3:37" x14ac:dyDescent="0.25">
      <c r="E122" s="64" t="str">
        <f>Input!A214</f>
        <v xml:space="preserve">Reception 2 </v>
      </c>
      <c r="F122" s="57">
        <f>Input!B214</f>
        <v>43</v>
      </c>
      <c r="J122" s="47">
        <f>$F122*Input!$B$33*Input!$B$28*Input!$B$11</f>
        <v>232.2</v>
      </c>
      <c r="K122" s="47">
        <f>$F122*Input!$B$33*Input!$B$28*Input!$B$11</f>
        <v>232.2</v>
      </c>
      <c r="L122" s="47">
        <f>$F122*Input!$B$33*Input!$B$28*Input!$B$11</f>
        <v>232.2</v>
      </c>
      <c r="M122" s="47">
        <f>J122*(1+Input!$B$36)</f>
        <v>243.81</v>
      </c>
      <c r="N122" s="47">
        <f>K122*(1+Input!$B$36)</f>
        <v>243.81</v>
      </c>
      <c r="O122" s="47">
        <f>L122*(1+Input!$B$36)</f>
        <v>243.81</v>
      </c>
      <c r="P122" s="47">
        <f>M122*(1+Input!$B$36)</f>
        <v>256.00049999999999</v>
      </c>
      <c r="Q122" s="47">
        <f>N122*(1+Input!$B$36)</f>
        <v>256.00049999999999</v>
      </c>
      <c r="R122" s="47">
        <f>O122*(1+Input!$B$36)</f>
        <v>256.00049999999999</v>
      </c>
      <c r="S122" s="47">
        <f>P122*(1+Input!$B$36)</f>
        <v>268.80052499999999</v>
      </c>
      <c r="T122" s="47">
        <f>Q122*(1+Input!$B$36)</f>
        <v>268.80052499999999</v>
      </c>
      <c r="U122" s="47">
        <f>R122*(1+Input!$B$36)</f>
        <v>268.80052499999999</v>
      </c>
      <c r="V122" s="47">
        <f>S122*(1+Input!$B$36)</f>
        <v>282.24055125000001</v>
      </c>
      <c r="W122" s="47">
        <f>T122*(1+Input!$B$36)</f>
        <v>282.24055125000001</v>
      </c>
      <c r="X122" s="47">
        <f>U122*(1+Input!$B$36)</f>
        <v>282.24055125000001</v>
      </c>
      <c r="Y122" s="47">
        <f>V122*(1+Input!$B$36)</f>
        <v>296.35257881250004</v>
      </c>
      <c r="Z122" s="47">
        <f>W122*(1+Input!$B$36)</f>
        <v>296.35257881250004</v>
      </c>
      <c r="AA122" s="47">
        <f>X122*(1+Input!$B$36)</f>
        <v>296.35257881250004</v>
      </c>
      <c r="AB122" s="47">
        <f>Y122*(1+Input!$B$36)</f>
        <v>311.17020775312506</v>
      </c>
      <c r="AC122" s="47">
        <f>Z122*(1+Input!$B$36)</f>
        <v>311.17020775312506</v>
      </c>
      <c r="AD122" s="47">
        <f>AA122*(1+Input!$B$36)</f>
        <v>311.17020775312506</v>
      </c>
      <c r="AE122" s="47">
        <f>AB122*(1+Input!$B$36)</f>
        <v>326.72871814078133</v>
      </c>
      <c r="AF122" s="47">
        <f>AC122*(1+Input!$B$36)</f>
        <v>326.72871814078133</v>
      </c>
      <c r="AG122" s="47">
        <f>AD122*(1+Input!$B$36)</f>
        <v>326.72871814078133</v>
      </c>
      <c r="AH122" s="47">
        <f>AE122*(1+Input!$B$36)</f>
        <v>343.06515404782039</v>
      </c>
      <c r="AI122" s="47">
        <f>AF122*(1+Input!$B$36)</f>
        <v>343.06515404782039</v>
      </c>
      <c r="AJ122" s="47">
        <f>AG122*(1+Input!$B$36)</f>
        <v>343.06515404782039</v>
      </c>
      <c r="AK122" s="47" t="s">
        <v>98</v>
      </c>
    </row>
    <row r="123" spans="3:37" x14ac:dyDescent="0.25">
      <c r="E123" s="64" t="str">
        <f>Input!A215</f>
        <v>Year 1</v>
      </c>
      <c r="F123" s="57">
        <f>Input!B215</f>
        <v>43</v>
      </c>
      <c r="J123" s="47">
        <f>$F123*Input!$B$33*Input!$B$28*Input!$B$11</f>
        <v>232.2</v>
      </c>
      <c r="K123" s="47">
        <f>$F123*Input!$B$33*Input!$B$28*Input!$B$11</f>
        <v>232.2</v>
      </c>
      <c r="L123" s="47">
        <f>$F123*Input!$B$33*Input!$B$28*Input!$B$11</f>
        <v>232.2</v>
      </c>
      <c r="M123" s="47">
        <f>J123*(1+Input!$B$36)</f>
        <v>243.81</v>
      </c>
      <c r="N123" s="47">
        <f>K123*(1+Input!$B$36)</f>
        <v>243.81</v>
      </c>
      <c r="O123" s="47">
        <f>L123*(1+Input!$B$36)</f>
        <v>243.81</v>
      </c>
      <c r="P123" s="47">
        <f>M123*(1+Input!$B$36)</f>
        <v>256.00049999999999</v>
      </c>
      <c r="Q123" s="47">
        <f>N123*(1+Input!$B$36)</f>
        <v>256.00049999999999</v>
      </c>
      <c r="R123" s="47">
        <f>O123*(1+Input!$B$36)</f>
        <v>256.00049999999999</v>
      </c>
      <c r="S123" s="47">
        <f>P123*(1+Input!$B$36)</f>
        <v>268.80052499999999</v>
      </c>
      <c r="T123" s="47">
        <f>Q123*(1+Input!$B$36)</f>
        <v>268.80052499999999</v>
      </c>
      <c r="U123" s="47">
        <f>R123*(1+Input!$B$36)</f>
        <v>268.80052499999999</v>
      </c>
      <c r="V123" s="47">
        <f>S123*(1+Input!$B$36)</f>
        <v>282.24055125000001</v>
      </c>
      <c r="W123" s="47">
        <f>T123*(1+Input!$B$36)</f>
        <v>282.24055125000001</v>
      </c>
      <c r="X123" s="47">
        <f>U123*(1+Input!$B$36)</f>
        <v>282.24055125000001</v>
      </c>
      <c r="Y123" s="47">
        <f>V123*(1+Input!$B$36)</f>
        <v>296.35257881250004</v>
      </c>
      <c r="Z123" s="47">
        <f>W123*(1+Input!$B$36)</f>
        <v>296.35257881250004</v>
      </c>
      <c r="AA123" s="47">
        <f>X123*(1+Input!$B$36)</f>
        <v>296.35257881250004</v>
      </c>
      <c r="AB123" s="47">
        <f>Y123*(1+Input!$B$36)</f>
        <v>311.17020775312506</v>
      </c>
      <c r="AC123" s="47">
        <f>Z123*(1+Input!$B$36)</f>
        <v>311.17020775312506</v>
      </c>
      <c r="AD123" s="47">
        <f>AA123*(1+Input!$B$36)</f>
        <v>311.17020775312506</v>
      </c>
      <c r="AE123" s="47">
        <f>AB123*(1+Input!$B$36)</f>
        <v>326.72871814078133</v>
      </c>
      <c r="AF123" s="47">
        <f>AC123*(1+Input!$B$36)</f>
        <v>326.72871814078133</v>
      </c>
      <c r="AG123" s="47">
        <f>AD123*(1+Input!$B$36)</f>
        <v>326.72871814078133</v>
      </c>
      <c r="AH123" s="47">
        <f>AE123*(1+Input!$B$36)</f>
        <v>343.06515404782039</v>
      </c>
      <c r="AI123" s="47">
        <f>AF123*(1+Input!$B$36)</f>
        <v>343.06515404782039</v>
      </c>
      <c r="AJ123" s="47">
        <f>AG123*(1+Input!$B$36)</f>
        <v>343.06515404782039</v>
      </c>
      <c r="AK123" s="47" t="s">
        <v>98</v>
      </c>
    </row>
    <row r="124" spans="3:37" x14ac:dyDescent="0.25">
      <c r="E124" s="64" t="str">
        <f>Input!A216</f>
        <v>Year 2</v>
      </c>
      <c r="F124" s="57">
        <f>Input!B216</f>
        <v>43</v>
      </c>
      <c r="J124" s="47">
        <f>$F124*Input!$B$33*Input!$B$28*Input!$B$11</f>
        <v>232.2</v>
      </c>
      <c r="K124" s="47">
        <f>$F124*Input!$B$33*Input!$B$28*Input!$B$11</f>
        <v>232.2</v>
      </c>
      <c r="L124" s="47">
        <f>$F124*Input!$B$33*Input!$B$28*Input!$B$11</f>
        <v>232.2</v>
      </c>
      <c r="M124" s="47">
        <f>J124*(1+Input!$B$36)</f>
        <v>243.81</v>
      </c>
      <c r="N124" s="47">
        <f>K124*(1+Input!$B$36)</f>
        <v>243.81</v>
      </c>
      <c r="O124" s="47">
        <f>L124*(1+Input!$B$36)</f>
        <v>243.81</v>
      </c>
      <c r="P124" s="47">
        <f>M124*(1+Input!$B$36)</f>
        <v>256.00049999999999</v>
      </c>
      <c r="Q124" s="47">
        <f>N124*(1+Input!$B$36)</f>
        <v>256.00049999999999</v>
      </c>
      <c r="R124" s="47">
        <f>O124*(1+Input!$B$36)</f>
        <v>256.00049999999999</v>
      </c>
      <c r="S124" s="47">
        <f>P124*(1+Input!$B$36)</f>
        <v>268.80052499999999</v>
      </c>
      <c r="T124" s="47">
        <f>Q124*(1+Input!$B$36)</f>
        <v>268.80052499999999</v>
      </c>
      <c r="U124" s="47">
        <f>R124*(1+Input!$B$36)</f>
        <v>268.80052499999999</v>
      </c>
      <c r="V124" s="47">
        <f>S124*(1+Input!$B$36)</f>
        <v>282.24055125000001</v>
      </c>
      <c r="W124" s="47">
        <f>T124*(1+Input!$B$36)</f>
        <v>282.24055125000001</v>
      </c>
      <c r="X124" s="47">
        <f>U124*(1+Input!$B$36)</f>
        <v>282.24055125000001</v>
      </c>
      <c r="Y124" s="47">
        <f>V124*(1+Input!$B$36)</f>
        <v>296.35257881250004</v>
      </c>
      <c r="Z124" s="47">
        <f>W124*(1+Input!$B$36)</f>
        <v>296.35257881250004</v>
      </c>
      <c r="AA124" s="47">
        <f>X124*(1+Input!$B$36)</f>
        <v>296.35257881250004</v>
      </c>
      <c r="AB124" s="47">
        <f>Y124*(1+Input!$B$36)</f>
        <v>311.17020775312506</v>
      </c>
      <c r="AC124" s="47">
        <f>Z124*(1+Input!$B$36)</f>
        <v>311.17020775312506</v>
      </c>
      <c r="AD124" s="47">
        <f>AA124*(1+Input!$B$36)</f>
        <v>311.17020775312506</v>
      </c>
      <c r="AE124" s="47">
        <f>AB124*(1+Input!$B$36)</f>
        <v>326.72871814078133</v>
      </c>
      <c r="AF124" s="47">
        <f>AC124*(1+Input!$B$36)</f>
        <v>326.72871814078133</v>
      </c>
      <c r="AG124" s="47">
        <f>AD124*(1+Input!$B$36)</f>
        <v>326.72871814078133</v>
      </c>
      <c r="AH124" s="47">
        <f>AE124*(1+Input!$B$36)</f>
        <v>343.06515404782039</v>
      </c>
      <c r="AI124" s="47">
        <f>AF124*(1+Input!$B$36)</f>
        <v>343.06515404782039</v>
      </c>
      <c r="AJ124" s="47">
        <f>AG124*(1+Input!$B$36)</f>
        <v>343.06515404782039</v>
      </c>
      <c r="AK124" s="47" t="s">
        <v>98</v>
      </c>
    </row>
    <row r="125" spans="3:37" x14ac:dyDescent="0.25">
      <c r="E125" s="64" t="str">
        <f>Input!A217</f>
        <v>Year 3</v>
      </c>
      <c r="F125" s="57">
        <f>Input!B217</f>
        <v>43</v>
      </c>
      <c r="J125" s="47">
        <f>$F125*Input!$B$33*Input!$B$28*Input!$B$11</f>
        <v>232.2</v>
      </c>
      <c r="K125" s="47">
        <f>$F125*Input!$B$33*Input!$B$28*Input!$B$11</f>
        <v>232.2</v>
      </c>
      <c r="L125" s="47">
        <f>$F125*Input!$B$33*Input!$B$28*Input!$B$11</f>
        <v>232.2</v>
      </c>
      <c r="M125" s="47">
        <f>J125*(1+Input!$B$36)</f>
        <v>243.81</v>
      </c>
      <c r="N125" s="47">
        <f>K125*(1+Input!$B$36)</f>
        <v>243.81</v>
      </c>
      <c r="O125" s="47">
        <f>L125*(1+Input!$B$36)</f>
        <v>243.81</v>
      </c>
      <c r="P125" s="47">
        <f>M125*(1+Input!$B$36)</f>
        <v>256.00049999999999</v>
      </c>
      <c r="Q125" s="47">
        <f>N125*(1+Input!$B$36)</f>
        <v>256.00049999999999</v>
      </c>
      <c r="R125" s="47">
        <f>O125*(1+Input!$B$36)</f>
        <v>256.00049999999999</v>
      </c>
      <c r="S125" s="47">
        <f>P125*(1+Input!$B$36)</f>
        <v>268.80052499999999</v>
      </c>
      <c r="T125" s="47">
        <f>Q125*(1+Input!$B$36)</f>
        <v>268.80052499999999</v>
      </c>
      <c r="U125" s="47">
        <f>R125*(1+Input!$B$36)</f>
        <v>268.80052499999999</v>
      </c>
      <c r="V125" s="47">
        <f>S125*(1+Input!$B$36)</f>
        <v>282.24055125000001</v>
      </c>
      <c r="W125" s="47">
        <f>T125*(1+Input!$B$36)</f>
        <v>282.24055125000001</v>
      </c>
      <c r="X125" s="47">
        <f>U125*(1+Input!$B$36)</f>
        <v>282.24055125000001</v>
      </c>
      <c r="Y125" s="47">
        <f>V125*(1+Input!$B$36)</f>
        <v>296.35257881250004</v>
      </c>
      <c r="Z125" s="47">
        <f>W125*(1+Input!$B$36)</f>
        <v>296.35257881250004</v>
      </c>
      <c r="AA125" s="47">
        <f>X125*(1+Input!$B$36)</f>
        <v>296.35257881250004</v>
      </c>
      <c r="AB125" s="47">
        <f>Y125*(1+Input!$B$36)</f>
        <v>311.17020775312506</v>
      </c>
      <c r="AC125" s="47">
        <f>Z125*(1+Input!$B$36)</f>
        <v>311.17020775312506</v>
      </c>
      <c r="AD125" s="47">
        <f>AA125*(1+Input!$B$36)</f>
        <v>311.17020775312506</v>
      </c>
      <c r="AE125" s="47">
        <f>AB125*(1+Input!$B$36)</f>
        <v>326.72871814078133</v>
      </c>
      <c r="AF125" s="47">
        <f>AC125*(1+Input!$B$36)</f>
        <v>326.72871814078133</v>
      </c>
      <c r="AG125" s="47">
        <f>AD125*(1+Input!$B$36)</f>
        <v>326.72871814078133</v>
      </c>
      <c r="AH125" s="47">
        <f>AE125*(1+Input!$B$36)</f>
        <v>343.06515404782039</v>
      </c>
      <c r="AI125" s="47">
        <f>AF125*(1+Input!$B$36)</f>
        <v>343.06515404782039</v>
      </c>
      <c r="AJ125" s="47">
        <f>AG125*(1+Input!$B$36)</f>
        <v>343.06515404782039</v>
      </c>
      <c r="AK125" s="47" t="s">
        <v>98</v>
      </c>
    </row>
    <row r="126" spans="3:37" x14ac:dyDescent="0.25">
      <c r="E126" s="64" t="str">
        <f>Input!A218</f>
        <v>Year 4</v>
      </c>
      <c r="F126" s="57">
        <f>Input!B218</f>
        <v>43</v>
      </c>
      <c r="J126" s="47">
        <f>$F126*Input!$B$33*Input!$B$28*Input!$B$11</f>
        <v>232.2</v>
      </c>
      <c r="K126" s="47">
        <f>$F126*Input!$B$33*Input!$B$28*Input!$B$11</f>
        <v>232.2</v>
      </c>
      <c r="L126" s="47">
        <f>$F126*Input!$B$33*Input!$B$28*Input!$B$11</f>
        <v>232.2</v>
      </c>
      <c r="M126" s="47">
        <f>J126*(1+Input!$B$36)</f>
        <v>243.81</v>
      </c>
      <c r="N126" s="47">
        <f>K126*(1+Input!$B$36)</f>
        <v>243.81</v>
      </c>
      <c r="O126" s="47">
        <f>L126*(1+Input!$B$36)</f>
        <v>243.81</v>
      </c>
      <c r="P126" s="47">
        <f>M126*(1+Input!$B$36)</f>
        <v>256.00049999999999</v>
      </c>
      <c r="Q126" s="47">
        <f>N126*(1+Input!$B$36)</f>
        <v>256.00049999999999</v>
      </c>
      <c r="R126" s="47">
        <f>O126*(1+Input!$B$36)</f>
        <v>256.00049999999999</v>
      </c>
      <c r="S126" s="47">
        <f>P126*(1+Input!$B$36)</f>
        <v>268.80052499999999</v>
      </c>
      <c r="T126" s="47">
        <f>Q126*(1+Input!$B$36)</f>
        <v>268.80052499999999</v>
      </c>
      <c r="U126" s="47">
        <f>R126*(1+Input!$B$36)</f>
        <v>268.80052499999999</v>
      </c>
      <c r="V126" s="47">
        <f>S126*(1+Input!$B$36)</f>
        <v>282.24055125000001</v>
      </c>
      <c r="W126" s="47">
        <f>T126*(1+Input!$B$36)</f>
        <v>282.24055125000001</v>
      </c>
      <c r="X126" s="47">
        <f>U126*(1+Input!$B$36)</f>
        <v>282.24055125000001</v>
      </c>
      <c r="Y126" s="47">
        <f>V126*(1+Input!$B$36)</f>
        <v>296.35257881250004</v>
      </c>
      <c r="Z126" s="47">
        <f>W126*(1+Input!$B$36)</f>
        <v>296.35257881250004</v>
      </c>
      <c r="AA126" s="47">
        <f>X126*(1+Input!$B$36)</f>
        <v>296.35257881250004</v>
      </c>
      <c r="AB126" s="47">
        <f>Y126*(1+Input!$B$36)</f>
        <v>311.17020775312506</v>
      </c>
      <c r="AC126" s="47">
        <f>Z126*(1+Input!$B$36)</f>
        <v>311.17020775312506</v>
      </c>
      <c r="AD126" s="47">
        <f>AA126*(1+Input!$B$36)</f>
        <v>311.17020775312506</v>
      </c>
      <c r="AE126" s="47">
        <f>AB126*(1+Input!$B$36)</f>
        <v>326.72871814078133</v>
      </c>
      <c r="AF126" s="47">
        <f>AC126*(1+Input!$B$36)</f>
        <v>326.72871814078133</v>
      </c>
      <c r="AG126" s="47">
        <f>AD126*(1+Input!$B$36)</f>
        <v>326.72871814078133</v>
      </c>
      <c r="AH126" s="47">
        <f>AE126*(1+Input!$B$36)</f>
        <v>343.06515404782039</v>
      </c>
      <c r="AI126" s="47">
        <f>AF126*(1+Input!$B$36)</f>
        <v>343.06515404782039</v>
      </c>
      <c r="AJ126" s="47">
        <f>AG126*(1+Input!$B$36)</f>
        <v>343.06515404782039</v>
      </c>
      <c r="AK126" s="47" t="s">
        <v>98</v>
      </c>
    </row>
    <row r="127" spans="3:37" x14ac:dyDescent="0.25">
      <c r="E127" s="64" t="str">
        <f>Input!A219</f>
        <v>Year 5</v>
      </c>
      <c r="F127" s="57">
        <f>Input!B219</f>
        <v>43</v>
      </c>
      <c r="J127" s="47">
        <f>$F127*Input!$B$33*Input!$B$28*Input!$B$11</f>
        <v>232.2</v>
      </c>
      <c r="K127" s="47">
        <f>$F127*Input!$B$33*Input!$B$28*Input!$B$11</f>
        <v>232.2</v>
      </c>
      <c r="L127" s="47">
        <f>$F127*Input!$B$33*Input!$B$28*Input!$B$11</f>
        <v>232.2</v>
      </c>
      <c r="M127" s="47">
        <f>J127*(1+Input!$B$36)</f>
        <v>243.81</v>
      </c>
      <c r="N127" s="47">
        <f>K127*(1+Input!$B$36)</f>
        <v>243.81</v>
      </c>
      <c r="O127" s="47">
        <f>L127*(1+Input!$B$36)</f>
        <v>243.81</v>
      </c>
      <c r="P127" s="47">
        <f>M127*(1+Input!$B$36)</f>
        <v>256.00049999999999</v>
      </c>
      <c r="Q127" s="47">
        <f>N127*(1+Input!$B$36)</f>
        <v>256.00049999999999</v>
      </c>
      <c r="R127" s="47">
        <f>O127*(1+Input!$B$36)</f>
        <v>256.00049999999999</v>
      </c>
      <c r="S127" s="47">
        <f>P127*(1+Input!$B$36)</f>
        <v>268.80052499999999</v>
      </c>
      <c r="T127" s="47">
        <f>Q127*(1+Input!$B$36)</f>
        <v>268.80052499999999</v>
      </c>
      <c r="U127" s="47">
        <f>R127*(1+Input!$B$36)</f>
        <v>268.80052499999999</v>
      </c>
      <c r="V127" s="47">
        <f>S127*(1+Input!$B$36)</f>
        <v>282.24055125000001</v>
      </c>
      <c r="W127" s="47">
        <f>T127*(1+Input!$B$36)</f>
        <v>282.24055125000001</v>
      </c>
      <c r="X127" s="47">
        <f>U127*(1+Input!$B$36)</f>
        <v>282.24055125000001</v>
      </c>
      <c r="Y127" s="47">
        <f>V127*(1+Input!$B$36)</f>
        <v>296.35257881250004</v>
      </c>
      <c r="Z127" s="47">
        <f>W127*(1+Input!$B$36)</f>
        <v>296.35257881250004</v>
      </c>
      <c r="AA127" s="47">
        <f>X127*(1+Input!$B$36)</f>
        <v>296.35257881250004</v>
      </c>
      <c r="AB127" s="47">
        <f>Y127*(1+Input!$B$36)</f>
        <v>311.17020775312506</v>
      </c>
      <c r="AC127" s="47">
        <f>Z127*(1+Input!$B$36)</f>
        <v>311.17020775312506</v>
      </c>
      <c r="AD127" s="47">
        <f>AA127*(1+Input!$B$36)</f>
        <v>311.17020775312506</v>
      </c>
      <c r="AE127" s="47">
        <f>AB127*(1+Input!$B$36)</f>
        <v>326.72871814078133</v>
      </c>
      <c r="AF127" s="47">
        <f>AC127*(1+Input!$B$36)</f>
        <v>326.72871814078133</v>
      </c>
      <c r="AG127" s="47">
        <f>AD127*(1+Input!$B$36)</f>
        <v>326.72871814078133</v>
      </c>
      <c r="AH127" s="47">
        <f>AE127*(1+Input!$B$36)</f>
        <v>343.06515404782039</v>
      </c>
      <c r="AI127" s="47">
        <f>AF127*(1+Input!$B$36)</f>
        <v>343.06515404782039</v>
      </c>
      <c r="AJ127" s="47">
        <f>AG127*(1+Input!$B$36)</f>
        <v>343.06515404782039</v>
      </c>
      <c r="AK127" s="47" t="s">
        <v>98</v>
      </c>
    </row>
    <row r="128" spans="3:37" x14ac:dyDescent="0.25">
      <c r="E128" s="64" t="str">
        <f>Input!A220</f>
        <v>Year 6</v>
      </c>
      <c r="F128" s="57">
        <f>Input!B220</f>
        <v>43</v>
      </c>
      <c r="J128" s="47">
        <f>$F128*Input!$B$33*Input!$B$28*Input!$B$11</f>
        <v>232.2</v>
      </c>
      <c r="K128" s="47">
        <f>$F128*Input!$B$33*Input!$B$28*Input!$B$11</f>
        <v>232.2</v>
      </c>
      <c r="L128" s="47">
        <f>$F128*Input!$B$33*Input!$B$28*Input!$B$11</f>
        <v>232.2</v>
      </c>
      <c r="M128" s="47">
        <f>J128*(1+Input!$B$36)</f>
        <v>243.81</v>
      </c>
      <c r="N128" s="47">
        <f>K128*(1+Input!$B$36)</f>
        <v>243.81</v>
      </c>
      <c r="O128" s="47">
        <f>L128*(1+Input!$B$36)</f>
        <v>243.81</v>
      </c>
      <c r="P128" s="47">
        <f>M128*(1+Input!$B$36)</f>
        <v>256.00049999999999</v>
      </c>
      <c r="Q128" s="47">
        <f>N128*(1+Input!$B$36)</f>
        <v>256.00049999999999</v>
      </c>
      <c r="R128" s="47">
        <f>O128*(1+Input!$B$36)</f>
        <v>256.00049999999999</v>
      </c>
      <c r="S128" s="47">
        <f>P128*(1+Input!$B$36)</f>
        <v>268.80052499999999</v>
      </c>
      <c r="T128" s="47">
        <f>Q128*(1+Input!$B$36)</f>
        <v>268.80052499999999</v>
      </c>
      <c r="U128" s="47">
        <f>R128*(1+Input!$B$36)</f>
        <v>268.80052499999999</v>
      </c>
      <c r="V128" s="47">
        <f>S128*(1+Input!$B$36)</f>
        <v>282.24055125000001</v>
      </c>
      <c r="W128" s="47">
        <f>T128*(1+Input!$B$36)</f>
        <v>282.24055125000001</v>
      </c>
      <c r="X128" s="47">
        <f>U128*(1+Input!$B$36)</f>
        <v>282.24055125000001</v>
      </c>
      <c r="Y128" s="47">
        <f>V128*(1+Input!$B$36)</f>
        <v>296.35257881250004</v>
      </c>
      <c r="Z128" s="47">
        <f>W128*(1+Input!$B$36)</f>
        <v>296.35257881250004</v>
      </c>
      <c r="AA128" s="47">
        <f>X128*(1+Input!$B$36)</f>
        <v>296.35257881250004</v>
      </c>
      <c r="AB128" s="47">
        <f>Y128*(1+Input!$B$36)</f>
        <v>311.17020775312506</v>
      </c>
      <c r="AC128" s="47">
        <f>Z128*(1+Input!$B$36)</f>
        <v>311.17020775312506</v>
      </c>
      <c r="AD128" s="47">
        <f>AA128*(1+Input!$B$36)</f>
        <v>311.17020775312506</v>
      </c>
      <c r="AE128" s="47">
        <f>AB128*(1+Input!$B$36)</f>
        <v>326.72871814078133</v>
      </c>
      <c r="AF128" s="47">
        <f>AC128*(1+Input!$B$36)</f>
        <v>326.72871814078133</v>
      </c>
      <c r="AG128" s="47">
        <f>AD128*(1+Input!$B$36)</f>
        <v>326.72871814078133</v>
      </c>
      <c r="AH128" s="47">
        <f>AE128*(1+Input!$B$36)</f>
        <v>343.06515404782039</v>
      </c>
      <c r="AI128" s="47">
        <f>AF128*(1+Input!$B$36)</f>
        <v>343.06515404782039</v>
      </c>
      <c r="AJ128" s="47">
        <f>AG128*(1+Input!$B$36)</f>
        <v>343.06515404782039</v>
      </c>
      <c r="AK128" s="47" t="s">
        <v>98</v>
      </c>
    </row>
    <row r="129" spans="3:37" x14ac:dyDescent="0.25">
      <c r="E129" s="64" t="str">
        <f>Input!A221</f>
        <v>Year 7</v>
      </c>
      <c r="F129" s="57">
        <f>Input!B221</f>
        <v>43</v>
      </c>
      <c r="J129" s="47">
        <f>$F129*Input!$B$33*Input!$B$28*Input!$B$11</f>
        <v>232.2</v>
      </c>
      <c r="K129" s="47">
        <f>$F129*Input!$B$33*Input!$B$28*Input!$B$11</f>
        <v>232.2</v>
      </c>
      <c r="L129" s="47">
        <f>$F129*Input!$B$33*Input!$B$28*Input!$B$11</f>
        <v>232.2</v>
      </c>
      <c r="M129" s="47">
        <f>J129*(1+Input!$B$36)</f>
        <v>243.81</v>
      </c>
      <c r="N129" s="47">
        <f>K129*(1+Input!$B$36)</f>
        <v>243.81</v>
      </c>
      <c r="O129" s="47">
        <f>L129*(1+Input!$B$36)</f>
        <v>243.81</v>
      </c>
      <c r="P129" s="47">
        <f>M129*(1+Input!$B$36)</f>
        <v>256.00049999999999</v>
      </c>
      <c r="Q129" s="47">
        <f>N129*(1+Input!$B$36)</f>
        <v>256.00049999999999</v>
      </c>
      <c r="R129" s="47">
        <f>O129*(1+Input!$B$36)</f>
        <v>256.00049999999999</v>
      </c>
      <c r="S129" s="47">
        <f>P129*(1+Input!$B$36)</f>
        <v>268.80052499999999</v>
      </c>
      <c r="T129" s="47">
        <f>Q129*(1+Input!$B$36)</f>
        <v>268.80052499999999</v>
      </c>
      <c r="U129" s="47">
        <f>R129*(1+Input!$B$36)</f>
        <v>268.80052499999999</v>
      </c>
      <c r="V129" s="47">
        <f>S129*(1+Input!$B$36)</f>
        <v>282.24055125000001</v>
      </c>
      <c r="W129" s="47">
        <f>T129*(1+Input!$B$36)</f>
        <v>282.24055125000001</v>
      </c>
      <c r="X129" s="47">
        <f>U129*(1+Input!$B$36)</f>
        <v>282.24055125000001</v>
      </c>
      <c r="Y129" s="47">
        <f>V129*(1+Input!$B$36)</f>
        <v>296.35257881250004</v>
      </c>
      <c r="Z129" s="47">
        <f>W129*(1+Input!$B$36)</f>
        <v>296.35257881250004</v>
      </c>
      <c r="AA129" s="47">
        <f>X129*(1+Input!$B$36)</f>
        <v>296.35257881250004</v>
      </c>
      <c r="AB129" s="47">
        <f>Y129*(1+Input!$B$36)</f>
        <v>311.17020775312506</v>
      </c>
      <c r="AC129" s="47">
        <f>Z129*(1+Input!$B$36)</f>
        <v>311.17020775312506</v>
      </c>
      <c r="AD129" s="47">
        <f>AA129*(1+Input!$B$36)</f>
        <v>311.17020775312506</v>
      </c>
      <c r="AE129" s="47">
        <f>AB129*(1+Input!$B$36)</f>
        <v>326.72871814078133</v>
      </c>
      <c r="AF129" s="47">
        <f>AC129*(1+Input!$B$36)</f>
        <v>326.72871814078133</v>
      </c>
      <c r="AG129" s="47">
        <f>AD129*(1+Input!$B$36)</f>
        <v>326.72871814078133</v>
      </c>
      <c r="AH129" s="47">
        <f>AE129*(1+Input!$B$36)</f>
        <v>343.06515404782039</v>
      </c>
      <c r="AI129" s="47">
        <f>AF129*(1+Input!$B$36)</f>
        <v>343.06515404782039</v>
      </c>
      <c r="AJ129" s="47">
        <f>AG129*(1+Input!$B$36)</f>
        <v>343.06515404782039</v>
      </c>
      <c r="AK129" s="47" t="s">
        <v>98</v>
      </c>
    </row>
    <row r="130" spans="3:37" x14ac:dyDescent="0.25">
      <c r="E130" s="64" t="str">
        <f>Input!A222</f>
        <v>Year 8</v>
      </c>
      <c r="F130" s="57">
        <f>Input!B222</f>
        <v>43</v>
      </c>
      <c r="J130" s="47">
        <f>$F130*Input!$B$33*Input!$B$28*Input!$B$11</f>
        <v>232.2</v>
      </c>
      <c r="K130" s="47">
        <f>$F130*Input!$B$33*Input!$B$28*Input!$B$11</f>
        <v>232.2</v>
      </c>
      <c r="L130" s="47">
        <f>$F130*Input!$B$33*Input!$B$28*Input!$B$11</f>
        <v>232.2</v>
      </c>
      <c r="M130" s="47">
        <f>J130*(1+Input!$B$36)</f>
        <v>243.81</v>
      </c>
      <c r="N130" s="47">
        <f>K130*(1+Input!$B$36)</f>
        <v>243.81</v>
      </c>
      <c r="O130" s="47">
        <f>L130*(1+Input!$B$36)</f>
        <v>243.81</v>
      </c>
      <c r="P130" s="47">
        <f>M130*(1+Input!$B$36)</f>
        <v>256.00049999999999</v>
      </c>
      <c r="Q130" s="47">
        <f>N130*(1+Input!$B$36)</f>
        <v>256.00049999999999</v>
      </c>
      <c r="R130" s="47">
        <f>O130*(1+Input!$B$36)</f>
        <v>256.00049999999999</v>
      </c>
      <c r="S130" s="47">
        <f>P130*(1+Input!$B$36)</f>
        <v>268.80052499999999</v>
      </c>
      <c r="T130" s="47">
        <f>Q130*(1+Input!$B$36)</f>
        <v>268.80052499999999</v>
      </c>
      <c r="U130" s="47">
        <f>R130*(1+Input!$B$36)</f>
        <v>268.80052499999999</v>
      </c>
      <c r="V130" s="47">
        <f>S130*(1+Input!$B$36)</f>
        <v>282.24055125000001</v>
      </c>
      <c r="W130" s="47">
        <f>T130*(1+Input!$B$36)</f>
        <v>282.24055125000001</v>
      </c>
      <c r="X130" s="47">
        <f>U130*(1+Input!$B$36)</f>
        <v>282.24055125000001</v>
      </c>
      <c r="Y130" s="47">
        <f>V130*(1+Input!$B$36)</f>
        <v>296.35257881250004</v>
      </c>
      <c r="Z130" s="47">
        <f>W130*(1+Input!$B$36)</f>
        <v>296.35257881250004</v>
      </c>
      <c r="AA130" s="47">
        <f>X130*(1+Input!$B$36)</f>
        <v>296.35257881250004</v>
      </c>
      <c r="AB130" s="47">
        <f>Y130*(1+Input!$B$36)</f>
        <v>311.17020775312506</v>
      </c>
      <c r="AC130" s="47">
        <f>Z130*(1+Input!$B$36)</f>
        <v>311.17020775312506</v>
      </c>
      <c r="AD130" s="47">
        <f>AA130*(1+Input!$B$36)</f>
        <v>311.17020775312506</v>
      </c>
      <c r="AE130" s="47">
        <f>AB130*(1+Input!$B$36)</f>
        <v>326.72871814078133</v>
      </c>
      <c r="AF130" s="47">
        <f>AC130*(1+Input!$B$36)</f>
        <v>326.72871814078133</v>
      </c>
      <c r="AG130" s="47">
        <f>AD130*(1+Input!$B$36)</f>
        <v>326.72871814078133</v>
      </c>
      <c r="AH130" s="47">
        <f>AE130*(1+Input!$B$36)</f>
        <v>343.06515404782039</v>
      </c>
      <c r="AI130" s="47">
        <f>AF130*(1+Input!$B$36)</f>
        <v>343.06515404782039</v>
      </c>
      <c r="AJ130" s="47">
        <f>AG130*(1+Input!$B$36)</f>
        <v>343.06515404782039</v>
      </c>
      <c r="AK130" s="47" t="s">
        <v>98</v>
      </c>
    </row>
    <row r="131" spans="3:37" x14ac:dyDescent="0.25">
      <c r="E131" s="64" t="str">
        <f>Input!A223</f>
        <v>Year 9</v>
      </c>
      <c r="F131" s="57">
        <f>Input!B223</f>
        <v>43</v>
      </c>
      <c r="J131" s="47">
        <f>$F131*Input!$B$33*Input!$B$28*Input!$B$11</f>
        <v>232.2</v>
      </c>
      <c r="K131" s="47">
        <f>$F131*Input!$B$33*Input!$B$28*Input!$B$11</f>
        <v>232.2</v>
      </c>
      <c r="L131" s="47">
        <f>$F131*Input!$B$33*Input!$B$28*Input!$B$11</f>
        <v>232.2</v>
      </c>
      <c r="M131" s="47">
        <f>J131*(1+Input!$B$36)</f>
        <v>243.81</v>
      </c>
      <c r="N131" s="47">
        <f>K131*(1+Input!$B$36)</f>
        <v>243.81</v>
      </c>
      <c r="O131" s="47">
        <f>L131*(1+Input!$B$36)</f>
        <v>243.81</v>
      </c>
      <c r="P131" s="47">
        <f>M131*(1+Input!$B$36)</f>
        <v>256.00049999999999</v>
      </c>
      <c r="Q131" s="47">
        <f>N131*(1+Input!$B$36)</f>
        <v>256.00049999999999</v>
      </c>
      <c r="R131" s="47">
        <f>O131*(1+Input!$B$36)</f>
        <v>256.00049999999999</v>
      </c>
      <c r="S131" s="47">
        <f>P131*(1+Input!$B$36)</f>
        <v>268.80052499999999</v>
      </c>
      <c r="T131" s="47">
        <f>Q131*(1+Input!$B$36)</f>
        <v>268.80052499999999</v>
      </c>
      <c r="U131" s="47">
        <f>R131*(1+Input!$B$36)</f>
        <v>268.80052499999999</v>
      </c>
      <c r="V131" s="47">
        <f>S131*(1+Input!$B$36)</f>
        <v>282.24055125000001</v>
      </c>
      <c r="W131" s="47">
        <f>T131*(1+Input!$B$36)</f>
        <v>282.24055125000001</v>
      </c>
      <c r="X131" s="47">
        <f>U131*(1+Input!$B$36)</f>
        <v>282.24055125000001</v>
      </c>
      <c r="Y131" s="47">
        <f>V131*(1+Input!$B$36)</f>
        <v>296.35257881250004</v>
      </c>
      <c r="Z131" s="47">
        <f>W131*(1+Input!$B$36)</f>
        <v>296.35257881250004</v>
      </c>
      <c r="AA131" s="47">
        <f>X131*(1+Input!$B$36)</f>
        <v>296.35257881250004</v>
      </c>
      <c r="AB131" s="47">
        <f>Y131*(1+Input!$B$36)</f>
        <v>311.17020775312506</v>
      </c>
      <c r="AC131" s="47">
        <f>Z131*(1+Input!$B$36)</f>
        <v>311.17020775312506</v>
      </c>
      <c r="AD131" s="47">
        <f>AA131*(1+Input!$B$36)</f>
        <v>311.17020775312506</v>
      </c>
      <c r="AE131" s="47">
        <f>AB131*(1+Input!$B$36)</f>
        <v>326.72871814078133</v>
      </c>
      <c r="AF131" s="47">
        <f>AC131*(1+Input!$B$36)</f>
        <v>326.72871814078133</v>
      </c>
      <c r="AG131" s="47">
        <f>AD131*(1+Input!$B$36)</f>
        <v>326.72871814078133</v>
      </c>
      <c r="AH131" s="47">
        <f>AE131*(1+Input!$B$36)</f>
        <v>343.06515404782039</v>
      </c>
      <c r="AI131" s="47">
        <f>AF131*(1+Input!$B$36)</f>
        <v>343.06515404782039</v>
      </c>
      <c r="AJ131" s="47">
        <f>AG131*(1+Input!$B$36)</f>
        <v>343.06515404782039</v>
      </c>
      <c r="AK131" s="47" t="s">
        <v>98</v>
      </c>
    </row>
    <row r="132" spans="3:37" x14ac:dyDescent="0.25">
      <c r="E132" s="64" t="str">
        <f>Input!A224</f>
        <v>Year 10</v>
      </c>
      <c r="F132" s="57">
        <f>Input!B224</f>
        <v>43</v>
      </c>
      <c r="J132" s="47">
        <f>$F132*Input!$B$33*Input!$B$28*Input!$B$11</f>
        <v>232.2</v>
      </c>
      <c r="K132" s="47">
        <f>$F132*Input!$B$33*Input!$B$28*Input!$B$11</f>
        <v>232.2</v>
      </c>
      <c r="L132" s="47">
        <f>$F132*Input!$B$33*Input!$B$28*Input!$B$11</f>
        <v>232.2</v>
      </c>
      <c r="M132" s="47">
        <f>J132*(1+Input!$B$36)</f>
        <v>243.81</v>
      </c>
      <c r="N132" s="47">
        <f>K132*(1+Input!$B$36)</f>
        <v>243.81</v>
      </c>
      <c r="O132" s="47">
        <f>L132*(1+Input!$B$36)</f>
        <v>243.81</v>
      </c>
      <c r="P132" s="47">
        <f>M132*(1+Input!$B$36)</f>
        <v>256.00049999999999</v>
      </c>
      <c r="Q132" s="47">
        <f>N132*(1+Input!$B$36)</f>
        <v>256.00049999999999</v>
      </c>
      <c r="R132" s="47">
        <f>O132*(1+Input!$B$36)</f>
        <v>256.00049999999999</v>
      </c>
      <c r="S132" s="47">
        <f>P132*(1+Input!$B$36)</f>
        <v>268.80052499999999</v>
      </c>
      <c r="T132" s="47">
        <f>Q132*(1+Input!$B$36)</f>
        <v>268.80052499999999</v>
      </c>
      <c r="U132" s="47">
        <f>R132*(1+Input!$B$36)</f>
        <v>268.80052499999999</v>
      </c>
      <c r="V132" s="47">
        <f>S132*(1+Input!$B$36)</f>
        <v>282.24055125000001</v>
      </c>
      <c r="W132" s="47">
        <f>T132*(1+Input!$B$36)</f>
        <v>282.24055125000001</v>
      </c>
      <c r="X132" s="47">
        <f>U132*(1+Input!$B$36)</f>
        <v>282.24055125000001</v>
      </c>
      <c r="Y132" s="47">
        <f>V132*(1+Input!$B$36)</f>
        <v>296.35257881250004</v>
      </c>
      <c r="Z132" s="47">
        <f>W132*(1+Input!$B$36)</f>
        <v>296.35257881250004</v>
      </c>
      <c r="AA132" s="47">
        <f>X132*(1+Input!$B$36)</f>
        <v>296.35257881250004</v>
      </c>
      <c r="AB132" s="47">
        <f>Y132*(1+Input!$B$36)</f>
        <v>311.17020775312506</v>
      </c>
      <c r="AC132" s="47">
        <f>Z132*(1+Input!$B$36)</f>
        <v>311.17020775312506</v>
      </c>
      <c r="AD132" s="47">
        <f>AA132*(1+Input!$B$36)</f>
        <v>311.17020775312506</v>
      </c>
      <c r="AE132" s="47">
        <f>AB132*(1+Input!$B$36)</f>
        <v>326.72871814078133</v>
      </c>
      <c r="AF132" s="47">
        <f>AC132*(1+Input!$B$36)</f>
        <v>326.72871814078133</v>
      </c>
      <c r="AG132" s="47">
        <f>AD132*(1+Input!$B$36)</f>
        <v>326.72871814078133</v>
      </c>
      <c r="AH132" s="47">
        <f>AE132*(1+Input!$B$36)</f>
        <v>343.06515404782039</v>
      </c>
      <c r="AI132" s="47">
        <f>AF132*(1+Input!$B$36)</f>
        <v>343.06515404782039</v>
      </c>
      <c r="AJ132" s="47">
        <f>AG132*(1+Input!$B$36)</f>
        <v>343.06515404782039</v>
      </c>
      <c r="AK132" s="47" t="s">
        <v>98</v>
      </c>
    </row>
    <row r="133" spans="3:37" x14ac:dyDescent="0.25">
      <c r="E133" s="64" t="str">
        <f>Input!A225</f>
        <v>Year 11</v>
      </c>
      <c r="F133" s="57">
        <f>Input!B225</f>
        <v>43</v>
      </c>
      <c r="J133" s="47">
        <f>$F133*Input!$B$33*Input!$B$28*Input!$B$11</f>
        <v>232.2</v>
      </c>
      <c r="K133" s="47">
        <f>$F133*Input!$B$33*Input!$B$28*Input!$B$11</f>
        <v>232.2</v>
      </c>
      <c r="L133" s="47">
        <f>$F133*Input!$B$33*Input!$B$28*Input!$B$11</f>
        <v>232.2</v>
      </c>
      <c r="M133" s="47">
        <f>J133*(1+Input!$B$36)</f>
        <v>243.81</v>
      </c>
      <c r="N133" s="47">
        <f>K133*(1+Input!$B$36)</f>
        <v>243.81</v>
      </c>
      <c r="O133" s="47">
        <f>L133*(1+Input!$B$36)</f>
        <v>243.81</v>
      </c>
      <c r="P133" s="47">
        <f>M133*(1+Input!$B$36)</f>
        <v>256.00049999999999</v>
      </c>
      <c r="Q133" s="47">
        <f>N133*(1+Input!$B$36)</f>
        <v>256.00049999999999</v>
      </c>
      <c r="R133" s="47">
        <f>O133*(1+Input!$B$36)</f>
        <v>256.00049999999999</v>
      </c>
      <c r="S133" s="47">
        <f>P133*(1+Input!$B$36)</f>
        <v>268.80052499999999</v>
      </c>
      <c r="T133" s="47">
        <f>Q133*(1+Input!$B$36)</f>
        <v>268.80052499999999</v>
      </c>
      <c r="U133" s="47">
        <f>R133*(1+Input!$B$36)</f>
        <v>268.80052499999999</v>
      </c>
      <c r="V133" s="47">
        <f>S133*(1+Input!$B$36)</f>
        <v>282.24055125000001</v>
      </c>
      <c r="W133" s="47">
        <f>T133*(1+Input!$B$36)</f>
        <v>282.24055125000001</v>
      </c>
      <c r="X133" s="47">
        <f>U133*(1+Input!$B$36)</f>
        <v>282.24055125000001</v>
      </c>
      <c r="Y133" s="47">
        <f>V133*(1+Input!$B$36)</f>
        <v>296.35257881250004</v>
      </c>
      <c r="Z133" s="47">
        <f>W133*(1+Input!$B$36)</f>
        <v>296.35257881250004</v>
      </c>
      <c r="AA133" s="47">
        <f>X133*(1+Input!$B$36)</f>
        <v>296.35257881250004</v>
      </c>
      <c r="AB133" s="47">
        <f>Y133*(1+Input!$B$36)</f>
        <v>311.17020775312506</v>
      </c>
      <c r="AC133" s="47">
        <f>Z133*(1+Input!$B$36)</f>
        <v>311.17020775312506</v>
      </c>
      <c r="AD133" s="47">
        <f>AA133*(1+Input!$B$36)</f>
        <v>311.17020775312506</v>
      </c>
      <c r="AE133" s="47">
        <f>AB133*(1+Input!$B$36)</f>
        <v>326.72871814078133</v>
      </c>
      <c r="AF133" s="47">
        <f>AC133*(1+Input!$B$36)</f>
        <v>326.72871814078133</v>
      </c>
      <c r="AG133" s="47">
        <f>AD133*(1+Input!$B$36)</f>
        <v>326.72871814078133</v>
      </c>
      <c r="AH133" s="47">
        <f>AE133*(1+Input!$B$36)</f>
        <v>343.06515404782039</v>
      </c>
      <c r="AI133" s="47">
        <f>AF133*(1+Input!$B$36)</f>
        <v>343.06515404782039</v>
      </c>
      <c r="AJ133" s="47">
        <f>AG133*(1+Input!$B$36)</f>
        <v>343.06515404782039</v>
      </c>
      <c r="AK133" s="47" t="s">
        <v>98</v>
      </c>
    </row>
    <row r="134" spans="3:37" x14ac:dyDescent="0.25">
      <c r="E134" s="64" t="str">
        <f>Input!A226</f>
        <v>Year 12</v>
      </c>
      <c r="F134" s="57">
        <f>Input!B226</f>
        <v>43</v>
      </c>
      <c r="J134" s="47">
        <f>$F134*Input!$B$33*Input!$B$28*Input!$B$11</f>
        <v>232.2</v>
      </c>
      <c r="K134" s="47">
        <f>$F134*Input!$B$33*Input!$B$28*Input!$B$11</f>
        <v>232.2</v>
      </c>
      <c r="L134" s="47">
        <f>$F134*Input!$B$33*Input!$B$28*Input!$B$11</f>
        <v>232.2</v>
      </c>
      <c r="M134" s="47">
        <f>J134*(1+Input!$B$36)</f>
        <v>243.81</v>
      </c>
      <c r="N134" s="47">
        <f>K134*(1+Input!$B$36)</f>
        <v>243.81</v>
      </c>
      <c r="O134" s="47">
        <f>L134*(1+Input!$B$36)</f>
        <v>243.81</v>
      </c>
      <c r="P134" s="47">
        <f>M134*(1+Input!$B$36)</f>
        <v>256.00049999999999</v>
      </c>
      <c r="Q134" s="47">
        <f>N134*(1+Input!$B$36)</f>
        <v>256.00049999999999</v>
      </c>
      <c r="R134" s="47">
        <f>O134*(1+Input!$B$36)</f>
        <v>256.00049999999999</v>
      </c>
      <c r="S134" s="47">
        <f>P134*(1+Input!$B$36)</f>
        <v>268.80052499999999</v>
      </c>
      <c r="T134" s="47">
        <f>Q134*(1+Input!$B$36)</f>
        <v>268.80052499999999</v>
      </c>
      <c r="U134" s="47">
        <f>R134*(1+Input!$B$36)</f>
        <v>268.80052499999999</v>
      </c>
      <c r="V134" s="47">
        <f>S134*(1+Input!$B$36)</f>
        <v>282.24055125000001</v>
      </c>
      <c r="W134" s="47">
        <f>T134*(1+Input!$B$36)</f>
        <v>282.24055125000001</v>
      </c>
      <c r="X134" s="47">
        <f>U134*(1+Input!$B$36)</f>
        <v>282.24055125000001</v>
      </c>
      <c r="Y134" s="47">
        <f>V134*(1+Input!$B$36)</f>
        <v>296.35257881250004</v>
      </c>
      <c r="Z134" s="47">
        <f>W134*(1+Input!$B$36)</f>
        <v>296.35257881250004</v>
      </c>
      <c r="AA134" s="47">
        <f>X134*(1+Input!$B$36)</f>
        <v>296.35257881250004</v>
      </c>
      <c r="AB134" s="47">
        <f>Y134*(1+Input!$B$36)</f>
        <v>311.17020775312506</v>
      </c>
      <c r="AC134" s="47">
        <f>Z134*(1+Input!$B$36)</f>
        <v>311.17020775312506</v>
      </c>
      <c r="AD134" s="47">
        <f>AA134*(1+Input!$B$36)</f>
        <v>311.17020775312506</v>
      </c>
      <c r="AE134" s="47">
        <f>AB134*(1+Input!$B$36)</f>
        <v>326.72871814078133</v>
      </c>
      <c r="AF134" s="47">
        <f>AC134*(1+Input!$B$36)</f>
        <v>326.72871814078133</v>
      </c>
      <c r="AG134" s="47">
        <f>AD134*(1+Input!$B$36)</f>
        <v>326.72871814078133</v>
      </c>
      <c r="AH134" s="47">
        <f>AE134*(1+Input!$B$36)</f>
        <v>343.06515404782039</v>
      </c>
      <c r="AI134" s="47">
        <f>AF134*(1+Input!$B$36)</f>
        <v>343.06515404782039</v>
      </c>
      <c r="AJ134" s="47">
        <f>AG134*(1+Input!$B$36)</f>
        <v>343.06515404782039</v>
      </c>
      <c r="AK134" s="47" t="s">
        <v>98</v>
      </c>
    </row>
    <row r="135" spans="3:37" x14ac:dyDescent="0.25">
      <c r="E135" s="64" t="str">
        <f>Input!A227</f>
        <v>Year 13</v>
      </c>
      <c r="F135" s="57">
        <f>Input!B227</f>
        <v>43</v>
      </c>
      <c r="J135" s="47">
        <f>$F135*Input!$B$33*Input!$B$28*Input!$B$11</f>
        <v>232.2</v>
      </c>
      <c r="K135" s="47">
        <f>$F135*Input!$B$33*Input!$B$28*Input!$B$11</f>
        <v>232.2</v>
      </c>
      <c r="L135" s="47">
        <f>$F135*Input!$B$33*Input!$B$28*Input!$B$11</f>
        <v>232.2</v>
      </c>
      <c r="M135" s="47">
        <f>J135*(1+Input!$B$36)</f>
        <v>243.81</v>
      </c>
      <c r="N135" s="47">
        <f>K135*(1+Input!$B$36)</f>
        <v>243.81</v>
      </c>
      <c r="O135" s="47">
        <f>L135*(1+Input!$B$36)</f>
        <v>243.81</v>
      </c>
      <c r="P135" s="47">
        <f>M135*(1+Input!$B$36)</f>
        <v>256.00049999999999</v>
      </c>
      <c r="Q135" s="47">
        <f>N135*(1+Input!$B$36)</f>
        <v>256.00049999999999</v>
      </c>
      <c r="R135" s="47">
        <f>O135*(1+Input!$B$36)</f>
        <v>256.00049999999999</v>
      </c>
      <c r="S135" s="47">
        <f>P135*(1+Input!$B$36)</f>
        <v>268.80052499999999</v>
      </c>
      <c r="T135" s="47">
        <f>Q135*(1+Input!$B$36)</f>
        <v>268.80052499999999</v>
      </c>
      <c r="U135" s="47">
        <f>R135*(1+Input!$B$36)</f>
        <v>268.80052499999999</v>
      </c>
      <c r="V135" s="47">
        <f>S135*(1+Input!$B$36)</f>
        <v>282.24055125000001</v>
      </c>
      <c r="W135" s="47">
        <f>T135*(1+Input!$B$36)</f>
        <v>282.24055125000001</v>
      </c>
      <c r="X135" s="47">
        <f>U135*(1+Input!$B$36)</f>
        <v>282.24055125000001</v>
      </c>
      <c r="Y135" s="47">
        <f>V135*(1+Input!$B$36)</f>
        <v>296.35257881250004</v>
      </c>
      <c r="Z135" s="47">
        <f>W135*(1+Input!$B$36)</f>
        <v>296.35257881250004</v>
      </c>
      <c r="AA135" s="47">
        <f>X135*(1+Input!$B$36)</f>
        <v>296.35257881250004</v>
      </c>
      <c r="AB135" s="47">
        <f>Y135*(1+Input!$B$36)</f>
        <v>311.17020775312506</v>
      </c>
      <c r="AC135" s="47">
        <f>Z135*(1+Input!$B$36)</f>
        <v>311.17020775312506</v>
      </c>
      <c r="AD135" s="47">
        <f>AA135*(1+Input!$B$36)</f>
        <v>311.17020775312506</v>
      </c>
      <c r="AE135" s="47">
        <f>AB135*(1+Input!$B$36)</f>
        <v>326.72871814078133</v>
      </c>
      <c r="AF135" s="47">
        <f>AC135*(1+Input!$B$36)</f>
        <v>326.72871814078133</v>
      </c>
      <c r="AG135" s="47">
        <f>AD135*(1+Input!$B$36)</f>
        <v>326.72871814078133</v>
      </c>
      <c r="AH135" s="47">
        <f>AE135*(1+Input!$B$36)</f>
        <v>343.06515404782039</v>
      </c>
      <c r="AI135" s="47">
        <f>AF135*(1+Input!$B$36)</f>
        <v>343.06515404782039</v>
      </c>
      <c r="AJ135" s="47">
        <f>AG135*(1+Input!$B$36)</f>
        <v>343.06515404782039</v>
      </c>
      <c r="AK135" s="47" t="s">
        <v>98</v>
      </c>
    </row>
    <row r="136" spans="3:37" x14ac:dyDescent="0.25">
      <c r="E136" s="64" t="str">
        <f>Input!A228</f>
        <v>Year 14</v>
      </c>
      <c r="F136" s="57">
        <f>Input!B228</f>
        <v>43</v>
      </c>
      <c r="J136" s="47">
        <f>$F136*Input!$B$33*Input!$B$28*Input!$B$11</f>
        <v>232.2</v>
      </c>
      <c r="K136" s="47">
        <f>$F136*Input!$B$33*Input!$B$28*Input!$B$11</f>
        <v>232.2</v>
      </c>
      <c r="L136" s="47">
        <f>$F136*Input!$B$33*Input!$B$28*Input!$B$11</f>
        <v>232.2</v>
      </c>
      <c r="M136" s="47">
        <f>J136*(1+Input!$B$36)</f>
        <v>243.81</v>
      </c>
      <c r="N136" s="47">
        <f>K136*(1+Input!$B$36)</f>
        <v>243.81</v>
      </c>
      <c r="O136" s="47">
        <f>L136*(1+Input!$B$36)</f>
        <v>243.81</v>
      </c>
      <c r="P136" s="47">
        <f>M136*(1+Input!$B$36)</f>
        <v>256.00049999999999</v>
      </c>
      <c r="Q136" s="47">
        <f>N136*(1+Input!$B$36)</f>
        <v>256.00049999999999</v>
      </c>
      <c r="R136" s="47">
        <f>O136*(1+Input!$B$36)</f>
        <v>256.00049999999999</v>
      </c>
      <c r="S136" s="47">
        <f>P136*(1+Input!$B$36)</f>
        <v>268.80052499999999</v>
      </c>
      <c r="T136" s="47">
        <f>Q136*(1+Input!$B$36)</f>
        <v>268.80052499999999</v>
      </c>
      <c r="U136" s="47">
        <f>R136*(1+Input!$B$36)</f>
        <v>268.80052499999999</v>
      </c>
      <c r="V136" s="47">
        <f>S136*(1+Input!$B$36)</f>
        <v>282.24055125000001</v>
      </c>
      <c r="W136" s="47">
        <f>T136*(1+Input!$B$36)</f>
        <v>282.24055125000001</v>
      </c>
      <c r="X136" s="47">
        <f>U136*(1+Input!$B$36)</f>
        <v>282.24055125000001</v>
      </c>
      <c r="Y136" s="47">
        <f>V136*(1+Input!$B$36)</f>
        <v>296.35257881250004</v>
      </c>
      <c r="Z136" s="47">
        <f>W136*(1+Input!$B$36)</f>
        <v>296.35257881250004</v>
      </c>
      <c r="AA136" s="47">
        <f>X136*(1+Input!$B$36)</f>
        <v>296.35257881250004</v>
      </c>
      <c r="AB136" s="47">
        <f>Y136*(1+Input!$B$36)</f>
        <v>311.17020775312506</v>
      </c>
      <c r="AC136" s="47">
        <f>Z136*(1+Input!$B$36)</f>
        <v>311.17020775312506</v>
      </c>
      <c r="AD136" s="47">
        <f>AA136*(1+Input!$B$36)</f>
        <v>311.17020775312506</v>
      </c>
      <c r="AE136" s="47">
        <f>AB136*(1+Input!$B$36)</f>
        <v>326.72871814078133</v>
      </c>
      <c r="AF136" s="47">
        <f>AC136*(1+Input!$B$36)</f>
        <v>326.72871814078133</v>
      </c>
      <c r="AG136" s="47">
        <f>AD136*(1+Input!$B$36)</f>
        <v>326.72871814078133</v>
      </c>
      <c r="AH136" s="47">
        <f>AE136*(1+Input!$B$36)</f>
        <v>343.06515404782039</v>
      </c>
      <c r="AI136" s="47">
        <f>AF136*(1+Input!$B$36)</f>
        <v>343.06515404782039</v>
      </c>
      <c r="AJ136" s="47">
        <f>AG136*(1+Input!$B$36)</f>
        <v>343.06515404782039</v>
      </c>
      <c r="AK136" s="47" t="s">
        <v>98</v>
      </c>
    </row>
    <row r="137" spans="3:37" x14ac:dyDescent="0.25">
      <c r="E137" s="64" t="s">
        <v>108</v>
      </c>
      <c r="F137" s="57"/>
      <c r="J137" s="47">
        <f>SUM(J118:J136)</f>
        <v>4411.7999999999984</v>
      </c>
      <c r="K137" s="47">
        <f t="shared" ref="K137:AJ137" si="5">SUM(K118:K136)</f>
        <v>4411.7999999999984</v>
      </c>
      <c r="L137" s="47">
        <f t="shared" si="5"/>
        <v>4411.7999999999984</v>
      </c>
      <c r="M137" s="47">
        <f t="shared" si="5"/>
        <v>4632.3900000000003</v>
      </c>
      <c r="N137" s="47">
        <f t="shared" si="5"/>
        <v>4632.3900000000003</v>
      </c>
      <c r="O137" s="47">
        <f t="shared" si="5"/>
        <v>4632.3900000000003</v>
      </c>
      <c r="P137" s="47">
        <f t="shared" si="5"/>
        <v>4864.009500000001</v>
      </c>
      <c r="Q137" s="47">
        <f t="shared" si="5"/>
        <v>4864.009500000001</v>
      </c>
      <c r="R137" s="47">
        <f t="shared" si="5"/>
        <v>4864.009500000001</v>
      </c>
      <c r="S137" s="47">
        <f t="shared" si="5"/>
        <v>5107.2099749999998</v>
      </c>
      <c r="T137" s="47">
        <f t="shared" si="5"/>
        <v>5107.2099749999998</v>
      </c>
      <c r="U137" s="47">
        <f t="shared" si="5"/>
        <v>5107.2099749999998</v>
      </c>
      <c r="V137" s="47">
        <f t="shared" si="5"/>
        <v>5362.57047375</v>
      </c>
      <c r="W137" s="47">
        <f t="shared" si="5"/>
        <v>5362.57047375</v>
      </c>
      <c r="X137" s="47">
        <f t="shared" si="5"/>
        <v>5362.57047375</v>
      </c>
      <c r="Y137" s="47">
        <f t="shared" si="5"/>
        <v>5630.6989974374983</v>
      </c>
      <c r="Z137" s="47">
        <f t="shared" si="5"/>
        <v>5630.6989974374983</v>
      </c>
      <c r="AA137" s="47">
        <f t="shared" si="5"/>
        <v>5630.6989974374983</v>
      </c>
      <c r="AB137" s="47">
        <f t="shared" si="5"/>
        <v>5912.2339473093771</v>
      </c>
      <c r="AC137" s="47">
        <f t="shared" si="5"/>
        <v>5912.2339473093771</v>
      </c>
      <c r="AD137" s="47">
        <f t="shared" si="5"/>
        <v>5912.2339473093771</v>
      </c>
      <c r="AE137" s="47">
        <f t="shared" si="5"/>
        <v>6207.8456446748442</v>
      </c>
      <c r="AF137" s="47">
        <f t="shared" si="5"/>
        <v>6207.8456446748442</v>
      </c>
      <c r="AG137" s="47">
        <f t="shared" si="5"/>
        <v>6207.8456446748442</v>
      </c>
      <c r="AH137" s="47">
        <f t="shared" si="5"/>
        <v>6518.237926908585</v>
      </c>
      <c r="AI137" s="47">
        <f t="shared" si="5"/>
        <v>6518.237926908585</v>
      </c>
      <c r="AJ137" s="47">
        <f t="shared" si="5"/>
        <v>6518.237926908585</v>
      </c>
      <c r="AK137" s="47" t="s">
        <v>98</v>
      </c>
    </row>
    <row r="138" spans="3:37" x14ac:dyDescent="0.25">
      <c r="E138" s="64"/>
      <c r="F138" s="57"/>
    </row>
    <row r="139" spans="3:37" x14ac:dyDescent="0.25">
      <c r="C139" s="64" t="str">
        <f>Input!A230</f>
        <v>Science Lab, Workshop &amp; ICT</v>
      </c>
      <c r="E139" s="64"/>
      <c r="F139" s="57"/>
      <c r="AK139" s="47" t="s">
        <v>98</v>
      </c>
    </row>
    <row r="140" spans="3:37" x14ac:dyDescent="0.25">
      <c r="E140" s="64" t="str">
        <f>Input!A231</f>
        <v>Creche</v>
      </c>
      <c r="F140" s="57">
        <f>Input!B231</f>
        <v>104</v>
      </c>
      <c r="J140" s="47">
        <f>$F140*Input!$B$33*Input!$B$28*Input!$B$11</f>
        <v>561.6</v>
      </c>
      <c r="K140" s="47">
        <f>$F140*Input!$B$33*Input!$B$28*Input!$B$11</f>
        <v>561.6</v>
      </c>
      <c r="L140" s="47">
        <f>$F140*Input!$B$33*Input!$B$28*Input!$B$11</f>
        <v>561.6</v>
      </c>
      <c r="M140" s="47">
        <f>J140*(1+Input!$B$36)</f>
        <v>589.68000000000006</v>
      </c>
      <c r="N140" s="47">
        <f>K140*(1+Input!$B$36)</f>
        <v>589.68000000000006</v>
      </c>
      <c r="O140" s="47">
        <f>L140*(1+Input!$B$36)</f>
        <v>589.68000000000006</v>
      </c>
      <c r="P140" s="47">
        <f>M140*(1+Input!$B$36)</f>
        <v>619.1640000000001</v>
      </c>
      <c r="Q140" s="47">
        <f>N140*(1+Input!$B$36)</f>
        <v>619.1640000000001</v>
      </c>
      <c r="R140" s="47">
        <f>O140*(1+Input!$B$36)</f>
        <v>619.1640000000001</v>
      </c>
      <c r="S140" s="47">
        <f>P140*(1+Input!$B$36)</f>
        <v>650.12220000000013</v>
      </c>
      <c r="T140" s="47">
        <f>Q140*(1+Input!$B$36)</f>
        <v>650.12220000000013</v>
      </c>
      <c r="U140" s="47">
        <f>R140*(1+Input!$B$36)</f>
        <v>650.12220000000013</v>
      </c>
      <c r="V140" s="47">
        <f>S140*(1+Input!$B$36)</f>
        <v>682.62831000000017</v>
      </c>
      <c r="W140" s="47">
        <f>T140*(1+Input!$B$36)</f>
        <v>682.62831000000017</v>
      </c>
      <c r="X140" s="47">
        <f>U140*(1+Input!$B$36)</f>
        <v>682.62831000000017</v>
      </c>
      <c r="Y140" s="47">
        <f>V140*(1+Input!$B$36)</f>
        <v>716.75972550000017</v>
      </c>
      <c r="Z140" s="47">
        <f>W140*(1+Input!$B$36)</f>
        <v>716.75972550000017</v>
      </c>
      <c r="AA140" s="47">
        <f>X140*(1+Input!$B$36)</f>
        <v>716.75972550000017</v>
      </c>
      <c r="AB140" s="47">
        <f>Y140*(1+Input!$B$36)</f>
        <v>752.59771177500022</v>
      </c>
      <c r="AC140" s="47">
        <f>Z140*(1+Input!$B$36)</f>
        <v>752.59771177500022</v>
      </c>
      <c r="AD140" s="47">
        <f>AA140*(1+Input!$B$36)</f>
        <v>752.59771177500022</v>
      </c>
      <c r="AE140" s="47">
        <f>AB140*(1+Input!$B$36)</f>
        <v>790.22759736375031</v>
      </c>
      <c r="AF140" s="47">
        <f>AC140*(1+Input!$B$36)</f>
        <v>790.22759736375031</v>
      </c>
      <c r="AG140" s="47">
        <f>AD140*(1+Input!$B$36)</f>
        <v>790.22759736375031</v>
      </c>
      <c r="AH140" s="47">
        <f>AE140*(1+Input!$B$36)</f>
        <v>829.73897723193784</v>
      </c>
      <c r="AI140" s="47">
        <f>AF140*(1+Input!$B$36)</f>
        <v>829.73897723193784</v>
      </c>
      <c r="AJ140" s="47">
        <f>AG140*(1+Input!$B$36)</f>
        <v>829.73897723193784</v>
      </c>
      <c r="AK140" s="47" t="s">
        <v>98</v>
      </c>
    </row>
    <row r="141" spans="3:37" x14ac:dyDescent="0.25">
      <c r="E141" s="64" t="str">
        <f>Input!A232</f>
        <v>Playgroup</v>
      </c>
      <c r="F141" s="57">
        <f>Input!B232</f>
        <v>104</v>
      </c>
      <c r="J141" s="47">
        <f>$F141*Input!$B$33*Input!$B$28*Input!$B$11</f>
        <v>561.6</v>
      </c>
      <c r="K141" s="47">
        <f>$F141*Input!$B$33*Input!$B$28*Input!$B$11</f>
        <v>561.6</v>
      </c>
      <c r="L141" s="47">
        <f>$F141*Input!$B$33*Input!$B$28*Input!$B$11</f>
        <v>561.6</v>
      </c>
      <c r="M141" s="47">
        <f>J141*(1+Input!$B$36)</f>
        <v>589.68000000000006</v>
      </c>
      <c r="N141" s="47">
        <f>K141*(1+Input!$B$36)</f>
        <v>589.68000000000006</v>
      </c>
      <c r="O141" s="47">
        <f>L141*(1+Input!$B$36)</f>
        <v>589.68000000000006</v>
      </c>
      <c r="P141" s="47">
        <f>M141*(1+Input!$B$36)</f>
        <v>619.1640000000001</v>
      </c>
      <c r="Q141" s="47">
        <f>N141*(1+Input!$B$36)</f>
        <v>619.1640000000001</v>
      </c>
      <c r="R141" s="47">
        <f>O141*(1+Input!$B$36)</f>
        <v>619.1640000000001</v>
      </c>
      <c r="S141" s="47">
        <f>P141*(1+Input!$B$36)</f>
        <v>650.12220000000013</v>
      </c>
      <c r="T141" s="47">
        <f>Q141*(1+Input!$B$36)</f>
        <v>650.12220000000013</v>
      </c>
      <c r="U141" s="47">
        <f>R141*(1+Input!$B$36)</f>
        <v>650.12220000000013</v>
      </c>
      <c r="V141" s="47">
        <f>S141*(1+Input!$B$36)</f>
        <v>682.62831000000017</v>
      </c>
      <c r="W141" s="47">
        <f>T141*(1+Input!$B$36)</f>
        <v>682.62831000000017</v>
      </c>
      <c r="X141" s="47">
        <f>U141*(1+Input!$B$36)</f>
        <v>682.62831000000017</v>
      </c>
      <c r="Y141" s="47">
        <f>V141*(1+Input!$B$36)</f>
        <v>716.75972550000017</v>
      </c>
      <c r="Z141" s="47">
        <f>W141*(1+Input!$B$36)</f>
        <v>716.75972550000017</v>
      </c>
      <c r="AA141" s="47">
        <f>X141*(1+Input!$B$36)</f>
        <v>716.75972550000017</v>
      </c>
      <c r="AB141" s="47">
        <f>Y141*(1+Input!$B$36)</f>
        <v>752.59771177500022</v>
      </c>
      <c r="AC141" s="47">
        <f>Z141*(1+Input!$B$36)</f>
        <v>752.59771177500022</v>
      </c>
      <c r="AD141" s="47">
        <f>AA141*(1+Input!$B$36)</f>
        <v>752.59771177500022</v>
      </c>
      <c r="AE141" s="47">
        <f>AB141*(1+Input!$B$36)</f>
        <v>790.22759736375031</v>
      </c>
      <c r="AF141" s="47">
        <f>AC141*(1+Input!$B$36)</f>
        <v>790.22759736375031</v>
      </c>
      <c r="AG141" s="47">
        <f>AD141*(1+Input!$B$36)</f>
        <v>790.22759736375031</v>
      </c>
      <c r="AH141" s="47">
        <f>AE141*(1+Input!$B$36)</f>
        <v>829.73897723193784</v>
      </c>
      <c r="AI141" s="47">
        <f>AF141*(1+Input!$B$36)</f>
        <v>829.73897723193784</v>
      </c>
      <c r="AJ141" s="47">
        <f>AG141*(1+Input!$B$36)</f>
        <v>829.73897723193784</v>
      </c>
      <c r="AK141" s="47" t="s">
        <v>98</v>
      </c>
    </row>
    <row r="142" spans="3:37" x14ac:dyDescent="0.25">
      <c r="E142" s="64" t="str">
        <f>Input!A233</f>
        <v xml:space="preserve">Nursery </v>
      </c>
      <c r="F142" s="57">
        <f>Input!B233</f>
        <v>104</v>
      </c>
      <c r="J142" s="47">
        <f>$F142*Input!$B$33*Input!$B$28*Input!$B$11</f>
        <v>561.6</v>
      </c>
      <c r="K142" s="47">
        <f>$F142*Input!$B$33*Input!$B$28*Input!$B$11</f>
        <v>561.6</v>
      </c>
      <c r="L142" s="47">
        <f>$F142*Input!$B$33*Input!$B$28*Input!$B$11</f>
        <v>561.6</v>
      </c>
      <c r="M142" s="47">
        <f>J142*(1+Input!$B$36)</f>
        <v>589.68000000000006</v>
      </c>
      <c r="N142" s="47">
        <f>K142*(1+Input!$B$36)</f>
        <v>589.68000000000006</v>
      </c>
      <c r="O142" s="47">
        <f>L142*(1+Input!$B$36)</f>
        <v>589.68000000000006</v>
      </c>
      <c r="P142" s="47">
        <f>M142*(1+Input!$B$36)</f>
        <v>619.1640000000001</v>
      </c>
      <c r="Q142" s="47">
        <f>N142*(1+Input!$B$36)</f>
        <v>619.1640000000001</v>
      </c>
      <c r="R142" s="47">
        <f>O142*(1+Input!$B$36)</f>
        <v>619.1640000000001</v>
      </c>
      <c r="S142" s="47">
        <f>P142*(1+Input!$B$36)</f>
        <v>650.12220000000013</v>
      </c>
      <c r="T142" s="47">
        <f>Q142*(1+Input!$B$36)</f>
        <v>650.12220000000013</v>
      </c>
      <c r="U142" s="47">
        <f>R142*(1+Input!$B$36)</f>
        <v>650.12220000000013</v>
      </c>
      <c r="V142" s="47">
        <f>S142*(1+Input!$B$36)</f>
        <v>682.62831000000017</v>
      </c>
      <c r="W142" s="47">
        <f>T142*(1+Input!$B$36)</f>
        <v>682.62831000000017</v>
      </c>
      <c r="X142" s="47">
        <f>U142*(1+Input!$B$36)</f>
        <v>682.62831000000017</v>
      </c>
      <c r="Y142" s="47">
        <f>V142*(1+Input!$B$36)</f>
        <v>716.75972550000017</v>
      </c>
      <c r="Z142" s="47">
        <f>W142*(1+Input!$B$36)</f>
        <v>716.75972550000017</v>
      </c>
      <c r="AA142" s="47">
        <f>X142*(1+Input!$B$36)</f>
        <v>716.75972550000017</v>
      </c>
      <c r="AB142" s="47">
        <f>Y142*(1+Input!$B$36)</f>
        <v>752.59771177500022</v>
      </c>
      <c r="AC142" s="47">
        <f>Z142*(1+Input!$B$36)</f>
        <v>752.59771177500022</v>
      </c>
      <c r="AD142" s="47">
        <f>AA142*(1+Input!$B$36)</f>
        <v>752.59771177500022</v>
      </c>
      <c r="AE142" s="47">
        <f>AB142*(1+Input!$B$36)</f>
        <v>790.22759736375031</v>
      </c>
      <c r="AF142" s="47">
        <f>AC142*(1+Input!$B$36)</f>
        <v>790.22759736375031</v>
      </c>
      <c r="AG142" s="47">
        <f>AD142*(1+Input!$B$36)</f>
        <v>790.22759736375031</v>
      </c>
      <c r="AH142" s="47">
        <f>AE142*(1+Input!$B$36)</f>
        <v>829.73897723193784</v>
      </c>
      <c r="AI142" s="47">
        <f>AF142*(1+Input!$B$36)</f>
        <v>829.73897723193784</v>
      </c>
      <c r="AJ142" s="47">
        <f>AG142*(1+Input!$B$36)</f>
        <v>829.73897723193784</v>
      </c>
      <c r="AK142" s="47" t="s">
        <v>98</v>
      </c>
    </row>
    <row r="143" spans="3:37" x14ac:dyDescent="0.25">
      <c r="E143" s="64" t="str">
        <f>Input!A234</f>
        <v xml:space="preserve">Reception 1 </v>
      </c>
      <c r="F143" s="57">
        <f>Input!B234</f>
        <v>104</v>
      </c>
      <c r="J143" s="47">
        <f>$F143*Input!$B$33*Input!$B$28*Input!$B$11</f>
        <v>561.6</v>
      </c>
      <c r="K143" s="47">
        <f>$F143*Input!$B$33*Input!$B$28*Input!$B$11</f>
        <v>561.6</v>
      </c>
      <c r="L143" s="47">
        <f>$F143*Input!$B$33*Input!$B$28*Input!$B$11</f>
        <v>561.6</v>
      </c>
      <c r="M143" s="47">
        <f>J143*(1+Input!$B$36)</f>
        <v>589.68000000000006</v>
      </c>
      <c r="N143" s="47">
        <f>K143*(1+Input!$B$36)</f>
        <v>589.68000000000006</v>
      </c>
      <c r="O143" s="47">
        <f>L143*(1+Input!$B$36)</f>
        <v>589.68000000000006</v>
      </c>
      <c r="P143" s="47">
        <f>M143*(1+Input!$B$36)</f>
        <v>619.1640000000001</v>
      </c>
      <c r="Q143" s="47">
        <f>N143*(1+Input!$B$36)</f>
        <v>619.1640000000001</v>
      </c>
      <c r="R143" s="47">
        <f>O143*(1+Input!$B$36)</f>
        <v>619.1640000000001</v>
      </c>
      <c r="S143" s="47">
        <f>P143*(1+Input!$B$36)</f>
        <v>650.12220000000013</v>
      </c>
      <c r="T143" s="47">
        <f>Q143*(1+Input!$B$36)</f>
        <v>650.12220000000013</v>
      </c>
      <c r="U143" s="47">
        <f>R143*(1+Input!$B$36)</f>
        <v>650.12220000000013</v>
      </c>
      <c r="V143" s="47">
        <f>S143*(1+Input!$B$36)</f>
        <v>682.62831000000017</v>
      </c>
      <c r="W143" s="47">
        <f>T143*(1+Input!$B$36)</f>
        <v>682.62831000000017</v>
      </c>
      <c r="X143" s="47">
        <f>U143*(1+Input!$B$36)</f>
        <v>682.62831000000017</v>
      </c>
      <c r="Y143" s="47">
        <f>V143*(1+Input!$B$36)</f>
        <v>716.75972550000017</v>
      </c>
      <c r="Z143" s="47">
        <f>W143*(1+Input!$B$36)</f>
        <v>716.75972550000017</v>
      </c>
      <c r="AA143" s="47">
        <f>X143*(1+Input!$B$36)</f>
        <v>716.75972550000017</v>
      </c>
      <c r="AB143" s="47">
        <f>Y143*(1+Input!$B$36)</f>
        <v>752.59771177500022</v>
      </c>
      <c r="AC143" s="47">
        <f>Z143*(1+Input!$B$36)</f>
        <v>752.59771177500022</v>
      </c>
      <c r="AD143" s="47">
        <f>AA143*(1+Input!$B$36)</f>
        <v>752.59771177500022</v>
      </c>
      <c r="AE143" s="47">
        <f>AB143*(1+Input!$B$36)</f>
        <v>790.22759736375031</v>
      </c>
      <c r="AF143" s="47">
        <f>AC143*(1+Input!$B$36)</f>
        <v>790.22759736375031</v>
      </c>
      <c r="AG143" s="47">
        <f>AD143*(1+Input!$B$36)</f>
        <v>790.22759736375031</v>
      </c>
      <c r="AH143" s="47">
        <f>AE143*(1+Input!$B$36)</f>
        <v>829.73897723193784</v>
      </c>
      <c r="AI143" s="47">
        <f>AF143*(1+Input!$B$36)</f>
        <v>829.73897723193784</v>
      </c>
      <c r="AJ143" s="47">
        <f>AG143*(1+Input!$B$36)</f>
        <v>829.73897723193784</v>
      </c>
      <c r="AK143" s="47" t="s">
        <v>98</v>
      </c>
    </row>
    <row r="144" spans="3:37" x14ac:dyDescent="0.25">
      <c r="E144" s="64" t="str">
        <f>Input!A235</f>
        <v xml:space="preserve">Reception 2 </v>
      </c>
      <c r="F144" s="57">
        <f>Input!B235</f>
        <v>104</v>
      </c>
      <c r="J144" s="47">
        <f>$F144*Input!$B$33*Input!$B$28*Input!$B$11</f>
        <v>561.6</v>
      </c>
      <c r="K144" s="47">
        <f>$F144*Input!$B$33*Input!$B$28*Input!$B$11</f>
        <v>561.6</v>
      </c>
      <c r="L144" s="47">
        <f>$F144*Input!$B$33*Input!$B$28*Input!$B$11</f>
        <v>561.6</v>
      </c>
      <c r="M144" s="47">
        <f>J144*(1+Input!$B$36)</f>
        <v>589.68000000000006</v>
      </c>
      <c r="N144" s="47">
        <f>K144*(1+Input!$B$36)</f>
        <v>589.68000000000006</v>
      </c>
      <c r="O144" s="47">
        <f>L144*(1+Input!$B$36)</f>
        <v>589.68000000000006</v>
      </c>
      <c r="P144" s="47">
        <f>M144*(1+Input!$B$36)</f>
        <v>619.1640000000001</v>
      </c>
      <c r="Q144" s="47">
        <f>N144*(1+Input!$B$36)</f>
        <v>619.1640000000001</v>
      </c>
      <c r="R144" s="47">
        <f>O144*(1+Input!$B$36)</f>
        <v>619.1640000000001</v>
      </c>
      <c r="S144" s="47">
        <f>P144*(1+Input!$B$36)</f>
        <v>650.12220000000013</v>
      </c>
      <c r="T144" s="47">
        <f>Q144*(1+Input!$B$36)</f>
        <v>650.12220000000013</v>
      </c>
      <c r="U144" s="47">
        <f>R144*(1+Input!$B$36)</f>
        <v>650.12220000000013</v>
      </c>
      <c r="V144" s="47">
        <f>S144*(1+Input!$B$36)</f>
        <v>682.62831000000017</v>
      </c>
      <c r="W144" s="47">
        <f>T144*(1+Input!$B$36)</f>
        <v>682.62831000000017</v>
      </c>
      <c r="X144" s="47">
        <f>U144*(1+Input!$B$36)</f>
        <v>682.62831000000017</v>
      </c>
      <c r="Y144" s="47">
        <f>V144*(1+Input!$B$36)</f>
        <v>716.75972550000017</v>
      </c>
      <c r="Z144" s="47">
        <f>W144*(1+Input!$B$36)</f>
        <v>716.75972550000017</v>
      </c>
      <c r="AA144" s="47">
        <f>X144*(1+Input!$B$36)</f>
        <v>716.75972550000017</v>
      </c>
      <c r="AB144" s="47">
        <f>Y144*(1+Input!$B$36)</f>
        <v>752.59771177500022</v>
      </c>
      <c r="AC144" s="47">
        <f>Z144*(1+Input!$B$36)</f>
        <v>752.59771177500022</v>
      </c>
      <c r="AD144" s="47">
        <f>AA144*(1+Input!$B$36)</f>
        <v>752.59771177500022</v>
      </c>
      <c r="AE144" s="47">
        <f>AB144*(1+Input!$B$36)</f>
        <v>790.22759736375031</v>
      </c>
      <c r="AF144" s="47">
        <f>AC144*(1+Input!$B$36)</f>
        <v>790.22759736375031</v>
      </c>
      <c r="AG144" s="47">
        <f>AD144*(1+Input!$B$36)</f>
        <v>790.22759736375031</v>
      </c>
      <c r="AH144" s="47">
        <f>AE144*(1+Input!$B$36)</f>
        <v>829.73897723193784</v>
      </c>
      <c r="AI144" s="47">
        <f>AF144*(1+Input!$B$36)</f>
        <v>829.73897723193784</v>
      </c>
      <c r="AJ144" s="47">
        <f>AG144*(1+Input!$B$36)</f>
        <v>829.73897723193784</v>
      </c>
      <c r="AK144" s="47" t="s">
        <v>98</v>
      </c>
    </row>
    <row r="145" spans="5:37" x14ac:dyDescent="0.25">
      <c r="E145" s="64" t="str">
        <f>Input!A236</f>
        <v>Year 1</v>
      </c>
      <c r="F145" s="57">
        <f>Input!B236</f>
        <v>104</v>
      </c>
      <c r="J145" s="47">
        <f>$F145*Input!$B$33*Input!$B$28*Input!$B$11</f>
        <v>561.6</v>
      </c>
      <c r="K145" s="47">
        <f>$F145*Input!$B$33*Input!$B$28*Input!$B$11</f>
        <v>561.6</v>
      </c>
      <c r="L145" s="47">
        <f>$F145*Input!$B$33*Input!$B$28*Input!$B$11</f>
        <v>561.6</v>
      </c>
      <c r="M145" s="47">
        <f>J145*(1+Input!$B$36)</f>
        <v>589.68000000000006</v>
      </c>
      <c r="N145" s="47">
        <f>K145*(1+Input!$B$36)</f>
        <v>589.68000000000006</v>
      </c>
      <c r="O145" s="47">
        <f>L145*(1+Input!$B$36)</f>
        <v>589.68000000000006</v>
      </c>
      <c r="P145" s="47">
        <f>M145*(1+Input!$B$36)</f>
        <v>619.1640000000001</v>
      </c>
      <c r="Q145" s="47">
        <f>N145*(1+Input!$B$36)</f>
        <v>619.1640000000001</v>
      </c>
      <c r="R145" s="47">
        <f>O145*(1+Input!$B$36)</f>
        <v>619.1640000000001</v>
      </c>
      <c r="S145" s="47">
        <f>P145*(1+Input!$B$36)</f>
        <v>650.12220000000013</v>
      </c>
      <c r="T145" s="47">
        <f>Q145*(1+Input!$B$36)</f>
        <v>650.12220000000013</v>
      </c>
      <c r="U145" s="47">
        <f>R145*(1+Input!$B$36)</f>
        <v>650.12220000000013</v>
      </c>
      <c r="V145" s="47">
        <f>S145*(1+Input!$B$36)</f>
        <v>682.62831000000017</v>
      </c>
      <c r="W145" s="47">
        <f>T145*(1+Input!$B$36)</f>
        <v>682.62831000000017</v>
      </c>
      <c r="X145" s="47">
        <f>U145*(1+Input!$B$36)</f>
        <v>682.62831000000017</v>
      </c>
      <c r="Y145" s="47">
        <f>V145*(1+Input!$B$36)</f>
        <v>716.75972550000017</v>
      </c>
      <c r="Z145" s="47">
        <f>W145*(1+Input!$B$36)</f>
        <v>716.75972550000017</v>
      </c>
      <c r="AA145" s="47">
        <f>X145*(1+Input!$B$36)</f>
        <v>716.75972550000017</v>
      </c>
      <c r="AB145" s="47">
        <f>Y145*(1+Input!$B$36)</f>
        <v>752.59771177500022</v>
      </c>
      <c r="AC145" s="47">
        <f>Z145*(1+Input!$B$36)</f>
        <v>752.59771177500022</v>
      </c>
      <c r="AD145" s="47">
        <f>AA145*(1+Input!$B$36)</f>
        <v>752.59771177500022</v>
      </c>
      <c r="AE145" s="47">
        <f>AB145*(1+Input!$B$36)</f>
        <v>790.22759736375031</v>
      </c>
      <c r="AF145" s="47">
        <f>AC145*(1+Input!$B$36)</f>
        <v>790.22759736375031</v>
      </c>
      <c r="AG145" s="47">
        <f>AD145*(1+Input!$B$36)</f>
        <v>790.22759736375031</v>
      </c>
      <c r="AH145" s="47">
        <f>AE145*(1+Input!$B$36)</f>
        <v>829.73897723193784</v>
      </c>
      <c r="AI145" s="47">
        <f>AF145*(1+Input!$B$36)</f>
        <v>829.73897723193784</v>
      </c>
      <c r="AJ145" s="47">
        <f>AG145*(1+Input!$B$36)</f>
        <v>829.73897723193784</v>
      </c>
      <c r="AK145" s="47" t="s">
        <v>98</v>
      </c>
    </row>
    <row r="146" spans="5:37" x14ac:dyDescent="0.25">
      <c r="E146" s="64" t="str">
        <f>Input!A237</f>
        <v>Year 2</v>
      </c>
      <c r="F146" s="57">
        <f>Input!B237</f>
        <v>104</v>
      </c>
      <c r="J146" s="47">
        <f>$F146*Input!$B$33*Input!$B$28*Input!$B$11</f>
        <v>561.6</v>
      </c>
      <c r="K146" s="47">
        <f>$F146*Input!$B$33*Input!$B$28*Input!$B$11</f>
        <v>561.6</v>
      </c>
      <c r="L146" s="47">
        <f>$F146*Input!$B$33*Input!$B$28*Input!$B$11</f>
        <v>561.6</v>
      </c>
      <c r="M146" s="47">
        <f>J146*(1+Input!$B$36)</f>
        <v>589.68000000000006</v>
      </c>
      <c r="N146" s="47">
        <f>K146*(1+Input!$B$36)</f>
        <v>589.68000000000006</v>
      </c>
      <c r="O146" s="47">
        <f>L146*(1+Input!$B$36)</f>
        <v>589.68000000000006</v>
      </c>
      <c r="P146" s="47">
        <f>M146*(1+Input!$B$36)</f>
        <v>619.1640000000001</v>
      </c>
      <c r="Q146" s="47">
        <f>N146*(1+Input!$B$36)</f>
        <v>619.1640000000001</v>
      </c>
      <c r="R146" s="47">
        <f>O146*(1+Input!$B$36)</f>
        <v>619.1640000000001</v>
      </c>
      <c r="S146" s="47">
        <f>P146*(1+Input!$B$36)</f>
        <v>650.12220000000013</v>
      </c>
      <c r="T146" s="47">
        <f>Q146*(1+Input!$B$36)</f>
        <v>650.12220000000013</v>
      </c>
      <c r="U146" s="47">
        <f>R146*(1+Input!$B$36)</f>
        <v>650.12220000000013</v>
      </c>
      <c r="V146" s="47">
        <f>S146*(1+Input!$B$36)</f>
        <v>682.62831000000017</v>
      </c>
      <c r="W146" s="47">
        <f>T146*(1+Input!$B$36)</f>
        <v>682.62831000000017</v>
      </c>
      <c r="X146" s="47">
        <f>U146*(1+Input!$B$36)</f>
        <v>682.62831000000017</v>
      </c>
      <c r="Y146" s="47">
        <f>V146*(1+Input!$B$36)</f>
        <v>716.75972550000017</v>
      </c>
      <c r="Z146" s="47">
        <f>W146*(1+Input!$B$36)</f>
        <v>716.75972550000017</v>
      </c>
      <c r="AA146" s="47">
        <f>X146*(1+Input!$B$36)</f>
        <v>716.75972550000017</v>
      </c>
      <c r="AB146" s="47">
        <f>Y146*(1+Input!$B$36)</f>
        <v>752.59771177500022</v>
      </c>
      <c r="AC146" s="47">
        <f>Z146*(1+Input!$B$36)</f>
        <v>752.59771177500022</v>
      </c>
      <c r="AD146" s="47">
        <f>AA146*(1+Input!$B$36)</f>
        <v>752.59771177500022</v>
      </c>
      <c r="AE146" s="47">
        <f>AB146*(1+Input!$B$36)</f>
        <v>790.22759736375031</v>
      </c>
      <c r="AF146" s="47">
        <f>AC146*(1+Input!$B$36)</f>
        <v>790.22759736375031</v>
      </c>
      <c r="AG146" s="47">
        <f>AD146*(1+Input!$B$36)</f>
        <v>790.22759736375031</v>
      </c>
      <c r="AH146" s="47">
        <f>AE146*(1+Input!$B$36)</f>
        <v>829.73897723193784</v>
      </c>
      <c r="AI146" s="47">
        <f>AF146*(1+Input!$B$36)</f>
        <v>829.73897723193784</v>
      </c>
      <c r="AJ146" s="47">
        <f>AG146*(1+Input!$B$36)</f>
        <v>829.73897723193784</v>
      </c>
      <c r="AK146" s="47" t="s">
        <v>98</v>
      </c>
    </row>
    <row r="147" spans="5:37" x14ac:dyDescent="0.25">
      <c r="E147" s="64" t="str">
        <f>Input!A238</f>
        <v>Year 3</v>
      </c>
      <c r="F147" s="57">
        <f>Input!B238</f>
        <v>104</v>
      </c>
      <c r="J147" s="47">
        <f>$F147*Input!$B$33*Input!$B$28*Input!$B$11</f>
        <v>561.6</v>
      </c>
      <c r="K147" s="47">
        <f>$F147*Input!$B$33*Input!$B$28*Input!$B$11</f>
        <v>561.6</v>
      </c>
      <c r="L147" s="47">
        <f>$F147*Input!$B$33*Input!$B$28*Input!$B$11</f>
        <v>561.6</v>
      </c>
      <c r="M147" s="47">
        <f>J147*(1+Input!$B$36)</f>
        <v>589.68000000000006</v>
      </c>
      <c r="N147" s="47">
        <f>K147*(1+Input!$B$36)</f>
        <v>589.68000000000006</v>
      </c>
      <c r="O147" s="47">
        <f>L147*(1+Input!$B$36)</f>
        <v>589.68000000000006</v>
      </c>
      <c r="P147" s="47">
        <f>M147*(1+Input!$B$36)</f>
        <v>619.1640000000001</v>
      </c>
      <c r="Q147" s="47">
        <f>N147*(1+Input!$B$36)</f>
        <v>619.1640000000001</v>
      </c>
      <c r="R147" s="47">
        <f>O147*(1+Input!$B$36)</f>
        <v>619.1640000000001</v>
      </c>
      <c r="S147" s="47">
        <f>P147*(1+Input!$B$36)</f>
        <v>650.12220000000013</v>
      </c>
      <c r="T147" s="47">
        <f>Q147*(1+Input!$B$36)</f>
        <v>650.12220000000013</v>
      </c>
      <c r="U147" s="47">
        <f>R147*(1+Input!$B$36)</f>
        <v>650.12220000000013</v>
      </c>
      <c r="V147" s="47">
        <f>S147*(1+Input!$B$36)</f>
        <v>682.62831000000017</v>
      </c>
      <c r="W147" s="47">
        <f>T147*(1+Input!$B$36)</f>
        <v>682.62831000000017</v>
      </c>
      <c r="X147" s="47">
        <f>U147*(1+Input!$B$36)</f>
        <v>682.62831000000017</v>
      </c>
      <c r="Y147" s="47">
        <f>V147*(1+Input!$B$36)</f>
        <v>716.75972550000017</v>
      </c>
      <c r="Z147" s="47">
        <f>W147*(1+Input!$B$36)</f>
        <v>716.75972550000017</v>
      </c>
      <c r="AA147" s="47">
        <f>X147*(1+Input!$B$36)</f>
        <v>716.75972550000017</v>
      </c>
      <c r="AB147" s="47">
        <f>Y147*(1+Input!$B$36)</f>
        <v>752.59771177500022</v>
      </c>
      <c r="AC147" s="47">
        <f>Z147*(1+Input!$B$36)</f>
        <v>752.59771177500022</v>
      </c>
      <c r="AD147" s="47">
        <f>AA147*(1+Input!$B$36)</f>
        <v>752.59771177500022</v>
      </c>
      <c r="AE147" s="47">
        <f>AB147*(1+Input!$B$36)</f>
        <v>790.22759736375031</v>
      </c>
      <c r="AF147" s="47">
        <f>AC147*(1+Input!$B$36)</f>
        <v>790.22759736375031</v>
      </c>
      <c r="AG147" s="47">
        <f>AD147*(1+Input!$B$36)</f>
        <v>790.22759736375031</v>
      </c>
      <c r="AH147" s="47">
        <f>AE147*(1+Input!$B$36)</f>
        <v>829.73897723193784</v>
      </c>
      <c r="AI147" s="47">
        <f>AF147*(1+Input!$B$36)</f>
        <v>829.73897723193784</v>
      </c>
      <c r="AJ147" s="47">
        <f>AG147*(1+Input!$B$36)</f>
        <v>829.73897723193784</v>
      </c>
      <c r="AK147" s="47" t="s">
        <v>98</v>
      </c>
    </row>
    <row r="148" spans="5:37" x14ac:dyDescent="0.25">
      <c r="E148" s="64" t="str">
        <f>Input!A239</f>
        <v>Year 4</v>
      </c>
      <c r="F148" s="57">
        <f>Input!B239</f>
        <v>104</v>
      </c>
      <c r="J148" s="47">
        <f>$F148*Input!$B$33*Input!$B$28*Input!$B$11</f>
        <v>561.6</v>
      </c>
      <c r="K148" s="47">
        <f>$F148*Input!$B$33*Input!$B$28*Input!$B$11</f>
        <v>561.6</v>
      </c>
      <c r="L148" s="47">
        <f>$F148*Input!$B$33*Input!$B$28*Input!$B$11</f>
        <v>561.6</v>
      </c>
      <c r="M148" s="47">
        <f>J148*(1+Input!$B$36)</f>
        <v>589.68000000000006</v>
      </c>
      <c r="N148" s="47">
        <f>K148*(1+Input!$B$36)</f>
        <v>589.68000000000006</v>
      </c>
      <c r="O148" s="47">
        <f>L148*(1+Input!$B$36)</f>
        <v>589.68000000000006</v>
      </c>
      <c r="P148" s="47">
        <f>M148*(1+Input!$B$36)</f>
        <v>619.1640000000001</v>
      </c>
      <c r="Q148" s="47">
        <f>N148*(1+Input!$B$36)</f>
        <v>619.1640000000001</v>
      </c>
      <c r="R148" s="47">
        <f>O148*(1+Input!$B$36)</f>
        <v>619.1640000000001</v>
      </c>
      <c r="S148" s="47">
        <f>P148*(1+Input!$B$36)</f>
        <v>650.12220000000013</v>
      </c>
      <c r="T148" s="47">
        <f>Q148*(1+Input!$B$36)</f>
        <v>650.12220000000013</v>
      </c>
      <c r="U148" s="47">
        <f>R148*(1+Input!$B$36)</f>
        <v>650.12220000000013</v>
      </c>
      <c r="V148" s="47">
        <f>S148*(1+Input!$B$36)</f>
        <v>682.62831000000017</v>
      </c>
      <c r="W148" s="47">
        <f>T148*(1+Input!$B$36)</f>
        <v>682.62831000000017</v>
      </c>
      <c r="X148" s="47">
        <f>U148*(1+Input!$B$36)</f>
        <v>682.62831000000017</v>
      </c>
      <c r="Y148" s="47">
        <f>V148*(1+Input!$B$36)</f>
        <v>716.75972550000017</v>
      </c>
      <c r="Z148" s="47">
        <f>W148*(1+Input!$B$36)</f>
        <v>716.75972550000017</v>
      </c>
      <c r="AA148" s="47">
        <f>X148*(1+Input!$B$36)</f>
        <v>716.75972550000017</v>
      </c>
      <c r="AB148" s="47">
        <f>Y148*(1+Input!$B$36)</f>
        <v>752.59771177500022</v>
      </c>
      <c r="AC148" s="47">
        <f>Z148*(1+Input!$B$36)</f>
        <v>752.59771177500022</v>
      </c>
      <c r="AD148" s="47">
        <f>AA148*(1+Input!$B$36)</f>
        <v>752.59771177500022</v>
      </c>
      <c r="AE148" s="47">
        <f>AB148*(1+Input!$B$36)</f>
        <v>790.22759736375031</v>
      </c>
      <c r="AF148" s="47">
        <f>AC148*(1+Input!$B$36)</f>
        <v>790.22759736375031</v>
      </c>
      <c r="AG148" s="47">
        <f>AD148*(1+Input!$B$36)</f>
        <v>790.22759736375031</v>
      </c>
      <c r="AH148" s="47">
        <f>AE148*(1+Input!$B$36)</f>
        <v>829.73897723193784</v>
      </c>
      <c r="AI148" s="47">
        <f>AF148*(1+Input!$B$36)</f>
        <v>829.73897723193784</v>
      </c>
      <c r="AJ148" s="47">
        <f>AG148*(1+Input!$B$36)</f>
        <v>829.73897723193784</v>
      </c>
      <c r="AK148" s="47" t="s">
        <v>98</v>
      </c>
    </row>
    <row r="149" spans="5:37" x14ac:dyDescent="0.25">
      <c r="E149" s="64" t="str">
        <f>Input!A240</f>
        <v>Year 5</v>
      </c>
      <c r="F149" s="57">
        <f>Input!B240</f>
        <v>104</v>
      </c>
      <c r="J149" s="47">
        <f>$F149*Input!$B$33*Input!$B$28*Input!$B$11</f>
        <v>561.6</v>
      </c>
      <c r="K149" s="47">
        <f>$F149*Input!$B$33*Input!$B$28*Input!$B$11</f>
        <v>561.6</v>
      </c>
      <c r="L149" s="47">
        <f>$F149*Input!$B$33*Input!$B$28*Input!$B$11</f>
        <v>561.6</v>
      </c>
      <c r="M149" s="47">
        <f>J149*(1+Input!$B$36)</f>
        <v>589.68000000000006</v>
      </c>
      <c r="N149" s="47">
        <f>K149*(1+Input!$B$36)</f>
        <v>589.68000000000006</v>
      </c>
      <c r="O149" s="47">
        <f>L149*(1+Input!$B$36)</f>
        <v>589.68000000000006</v>
      </c>
      <c r="P149" s="47">
        <f>M149*(1+Input!$B$36)</f>
        <v>619.1640000000001</v>
      </c>
      <c r="Q149" s="47">
        <f>N149*(1+Input!$B$36)</f>
        <v>619.1640000000001</v>
      </c>
      <c r="R149" s="47">
        <f>O149*(1+Input!$B$36)</f>
        <v>619.1640000000001</v>
      </c>
      <c r="S149" s="47">
        <f>P149*(1+Input!$B$36)</f>
        <v>650.12220000000013</v>
      </c>
      <c r="T149" s="47">
        <f>Q149*(1+Input!$B$36)</f>
        <v>650.12220000000013</v>
      </c>
      <c r="U149" s="47">
        <f>R149*(1+Input!$B$36)</f>
        <v>650.12220000000013</v>
      </c>
      <c r="V149" s="47">
        <f>S149*(1+Input!$B$36)</f>
        <v>682.62831000000017</v>
      </c>
      <c r="W149" s="47">
        <f>T149*(1+Input!$B$36)</f>
        <v>682.62831000000017</v>
      </c>
      <c r="X149" s="47">
        <f>U149*(1+Input!$B$36)</f>
        <v>682.62831000000017</v>
      </c>
      <c r="Y149" s="47">
        <f>V149*(1+Input!$B$36)</f>
        <v>716.75972550000017</v>
      </c>
      <c r="Z149" s="47">
        <f>W149*(1+Input!$B$36)</f>
        <v>716.75972550000017</v>
      </c>
      <c r="AA149" s="47">
        <f>X149*(1+Input!$B$36)</f>
        <v>716.75972550000017</v>
      </c>
      <c r="AB149" s="47">
        <f>Y149*(1+Input!$B$36)</f>
        <v>752.59771177500022</v>
      </c>
      <c r="AC149" s="47">
        <f>Z149*(1+Input!$B$36)</f>
        <v>752.59771177500022</v>
      </c>
      <c r="AD149" s="47">
        <f>AA149*(1+Input!$B$36)</f>
        <v>752.59771177500022</v>
      </c>
      <c r="AE149" s="47">
        <f>AB149*(1+Input!$B$36)</f>
        <v>790.22759736375031</v>
      </c>
      <c r="AF149" s="47">
        <f>AC149*(1+Input!$B$36)</f>
        <v>790.22759736375031</v>
      </c>
      <c r="AG149" s="47">
        <f>AD149*(1+Input!$B$36)</f>
        <v>790.22759736375031</v>
      </c>
      <c r="AH149" s="47">
        <f>AE149*(1+Input!$B$36)</f>
        <v>829.73897723193784</v>
      </c>
      <c r="AI149" s="47">
        <f>AF149*(1+Input!$B$36)</f>
        <v>829.73897723193784</v>
      </c>
      <c r="AJ149" s="47">
        <f>AG149*(1+Input!$B$36)</f>
        <v>829.73897723193784</v>
      </c>
      <c r="AK149" s="47" t="s">
        <v>98</v>
      </c>
    </row>
    <row r="150" spans="5:37" x14ac:dyDescent="0.25">
      <c r="E150" s="64" t="str">
        <f>Input!A241</f>
        <v>Year 6</v>
      </c>
      <c r="F150" s="57">
        <f>Input!B241</f>
        <v>104</v>
      </c>
      <c r="J150" s="47">
        <f>$F150*Input!$B$33*Input!$B$28*Input!$B$11</f>
        <v>561.6</v>
      </c>
      <c r="K150" s="47">
        <f>$F150*Input!$B$33*Input!$B$28*Input!$B$11</f>
        <v>561.6</v>
      </c>
      <c r="L150" s="47">
        <f>$F150*Input!$B$33*Input!$B$28*Input!$B$11</f>
        <v>561.6</v>
      </c>
      <c r="M150" s="47">
        <f>J150*(1+Input!$B$36)</f>
        <v>589.68000000000006</v>
      </c>
      <c r="N150" s="47">
        <f>K150*(1+Input!$B$36)</f>
        <v>589.68000000000006</v>
      </c>
      <c r="O150" s="47">
        <f>L150*(1+Input!$B$36)</f>
        <v>589.68000000000006</v>
      </c>
      <c r="P150" s="47">
        <f>M150*(1+Input!$B$36)</f>
        <v>619.1640000000001</v>
      </c>
      <c r="Q150" s="47">
        <f>N150*(1+Input!$B$36)</f>
        <v>619.1640000000001</v>
      </c>
      <c r="R150" s="47">
        <f>O150*(1+Input!$B$36)</f>
        <v>619.1640000000001</v>
      </c>
      <c r="S150" s="47">
        <f>P150*(1+Input!$B$36)</f>
        <v>650.12220000000013</v>
      </c>
      <c r="T150" s="47">
        <f>Q150*(1+Input!$B$36)</f>
        <v>650.12220000000013</v>
      </c>
      <c r="U150" s="47">
        <f>R150*(1+Input!$B$36)</f>
        <v>650.12220000000013</v>
      </c>
      <c r="V150" s="47">
        <f>S150*(1+Input!$B$36)</f>
        <v>682.62831000000017</v>
      </c>
      <c r="W150" s="47">
        <f>T150*(1+Input!$B$36)</f>
        <v>682.62831000000017</v>
      </c>
      <c r="X150" s="47">
        <f>U150*(1+Input!$B$36)</f>
        <v>682.62831000000017</v>
      </c>
      <c r="Y150" s="47">
        <f>V150*(1+Input!$B$36)</f>
        <v>716.75972550000017</v>
      </c>
      <c r="Z150" s="47">
        <f>W150*(1+Input!$B$36)</f>
        <v>716.75972550000017</v>
      </c>
      <c r="AA150" s="47">
        <f>X150*(1+Input!$B$36)</f>
        <v>716.75972550000017</v>
      </c>
      <c r="AB150" s="47">
        <f>Y150*(1+Input!$B$36)</f>
        <v>752.59771177500022</v>
      </c>
      <c r="AC150" s="47">
        <f>Z150*(1+Input!$B$36)</f>
        <v>752.59771177500022</v>
      </c>
      <c r="AD150" s="47">
        <f>AA150*(1+Input!$B$36)</f>
        <v>752.59771177500022</v>
      </c>
      <c r="AE150" s="47">
        <f>AB150*(1+Input!$B$36)</f>
        <v>790.22759736375031</v>
      </c>
      <c r="AF150" s="47">
        <f>AC150*(1+Input!$B$36)</f>
        <v>790.22759736375031</v>
      </c>
      <c r="AG150" s="47">
        <f>AD150*(1+Input!$B$36)</f>
        <v>790.22759736375031</v>
      </c>
      <c r="AH150" s="47">
        <f>AE150*(1+Input!$B$36)</f>
        <v>829.73897723193784</v>
      </c>
      <c r="AI150" s="47">
        <f>AF150*(1+Input!$B$36)</f>
        <v>829.73897723193784</v>
      </c>
      <c r="AJ150" s="47">
        <f>AG150*(1+Input!$B$36)</f>
        <v>829.73897723193784</v>
      </c>
      <c r="AK150" s="47" t="s">
        <v>98</v>
      </c>
    </row>
    <row r="151" spans="5:37" x14ac:dyDescent="0.25">
      <c r="E151" s="64" t="str">
        <f>Input!A242</f>
        <v>Year 7</v>
      </c>
      <c r="F151" s="57">
        <f>Input!B242</f>
        <v>104</v>
      </c>
      <c r="J151" s="47">
        <f>$F151*Input!$B$33*Input!$B$28*Input!$B$11</f>
        <v>561.6</v>
      </c>
      <c r="K151" s="47">
        <f>$F151*Input!$B$33*Input!$B$28*Input!$B$11</f>
        <v>561.6</v>
      </c>
      <c r="L151" s="47">
        <f>$F151*Input!$B$33*Input!$B$28*Input!$B$11</f>
        <v>561.6</v>
      </c>
      <c r="M151" s="47">
        <f>J151*(1+Input!$B$36)</f>
        <v>589.68000000000006</v>
      </c>
      <c r="N151" s="47">
        <f>K151*(1+Input!$B$36)</f>
        <v>589.68000000000006</v>
      </c>
      <c r="O151" s="47">
        <f>L151*(1+Input!$B$36)</f>
        <v>589.68000000000006</v>
      </c>
      <c r="P151" s="47">
        <f>M151*(1+Input!$B$36)</f>
        <v>619.1640000000001</v>
      </c>
      <c r="Q151" s="47">
        <f>N151*(1+Input!$B$36)</f>
        <v>619.1640000000001</v>
      </c>
      <c r="R151" s="47">
        <f>O151*(1+Input!$B$36)</f>
        <v>619.1640000000001</v>
      </c>
      <c r="S151" s="47">
        <f>P151*(1+Input!$B$36)</f>
        <v>650.12220000000013</v>
      </c>
      <c r="T151" s="47">
        <f>Q151*(1+Input!$B$36)</f>
        <v>650.12220000000013</v>
      </c>
      <c r="U151" s="47">
        <f>R151*(1+Input!$B$36)</f>
        <v>650.12220000000013</v>
      </c>
      <c r="V151" s="47">
        <f>S151*(1+Input!$B$36)</f>
        <v>682.62831000000017</v>
      </c>
      <c r="W151" s="47">
        <f>T151*(1+Input!$B$36)</f>
        <v>682.62831000000017</v>
      </c>
      <c r="X151" s="47">
        <f>U151*(1+Input!$B$36)</f>
        <v>682.62831000000017</v>
      </c>
      <c r="Y151" s="47">
        <f>V151*(1+Input!$B$36)</f>
        <v>716.75972550000017</v>
      </c>
      <c r="Z151" s="47">
        <f>W151*(1+Input!$B$36)</f>
        <v>716.75972550000017</v>
      </c>
      <c r="AA151" s="47">
        <f>X151*(1+Input!$B$36)</f>
        <v>716.75972550000017</v>
      </c>
      <c r="AB151" s="47">
        <f>Y151*(1+Input!$B$36)</f>
        <v>752.59771177500022</v>
      </c>
      <c r="AC151" s="47">
        <f>Z151*(1+Input!$B$36)</f>
        <v>752.59771177500022</v>
      </c>
      <c r="AD151" s="47">
        <f>AA151*(1+Input!$B$36)</f>
        <v>752.59771177500022</v>
      </c>
      <c r="AE151" s="47">
        <f>AB151*(1+Input!$B$36)</f>
        <v>790.22759736375031</v>
      </c>
      <c r="AF151" s="47">
        <f>AC151*(1+Input!$B$36)</f>
        <v>790.22759736375031</v>
      </c>
      <c r="AG151" s="47">
        <f>AD151*(1+Input!$B$36)</f>
        <v>790.22759736375031</v>
      </c>
      <c r="AH151" s="47">
        <f>AE151*(1+Input!$B$36)</f>
        <v>829.73897723193784</v>
      </c>
      <c r="AI151" s="47">
        <f>AF151*(1+Input!$B$36)</f>
        <v>829.73897723193784</v>
      </c>
      <c r="AJ151" s="47">
        <f>AG151*(1+Input!$B$36)</f>
        <v>829.73897723193784</v>
      </c>
      <c r="AK151" s="47" t="s">
        <v>98</v>
      </c>
    </row>
    <row r="152" spans="5:37" x14ac:dyDescent="0.25">
      <c r="E152" s="64" t="str">
        <f>Input!A243</f>
        <v>Year 8</v>
      </c>
      <c r="F152" s="57">
        <f>Input!B243</f>
        <v>104</v>
      </c>
      <c r="J152" s="47">
        <f>$F152*Input!$B$33*Input!$B$28*Input!$B$11</f>
        <v>561.6</v>
      </c>
      <c r="K152" s="47">
        <f>$F152*Input!$B$33*Input!$B$28*Input!$B$11</f>
        <v>561.6</v>
      </c>
      <c r="L152" s="47">
        <f>$F152*Input!$B$33*Input!$B$28*Input!$B$11</f>
        <v>561.6</v>
      </c>
      <c r="M152" s="47">
        <f>J152*(1+Input!$B$36)</f>
        <v>589.68000000000006</v>
      </c>
      <c r="N152" s="47">
        <f>K152*(1+Input!$B$36)</f>
        <v>589.68000000000006</v>
      </c>
      <c r="O152" s="47">
        <f>L152*(1+Input!$B$36)</f>
        <v>589.68000000000006</v>
      </c>
      <c r="P152" s="47">
        <f>M152*(1+Input!$B$36)</f>
        <v>619.1640000000001</v>
      </c>
      <c r="Q152" s="47">
        <f>N152*(1+Input!$B$36)</f>
        <v>619.1640000000001</v>
      </c>
      <c r="R152" s="47">
        <f>O152*(1+Input!$B$36)</f>
        <v>619.1640000000001</v>
      </c>
      <c r="S152" s="47">
        <f>P152*(1+Input!$B$36)</f>
        <v>650.12220000000013</v>
      </c>
      <c r="T152" s="47">
        <f>Q152*(1+Input!$B$36)</f>
        <v>650.12220000000013</v>
      </c>
      <c r="U152" s="47">
        <f>R152*(1+Input!$B$36)</f>
        <v>650.12220000000013</v>
      </c>
      <c r="V152" s="47">
        <f>S152*(1+Input!$B$36)</f>
        <v>682.62831000000017</v>
      </c>
      <c r="W152" s="47">
        <f>T152*(1+Input!$B$36)</f>
        <v>682.62831000000017</v>
      </c>
      <c r="X152" s="47">
        <f>U152*(1+Input!$B$36)</f>
        <v>682.62831000000017</v>
      </c>
      <c r="Y152" s="47">
        <f>V152*(1+Input!$B$36)</f>
        <v>716.75972550000017</v>
      </c>
      <c r="Z152" s="47">
        <f>W152*(1+Input!$B$36)</f>
        <v>716.75972550000017</v>
      </c>
      <c r="AA152" s="47">
        <f>X152*(1+Input!$B$36)</f>
        <v>716.75972550000017</v>
      </c>
      <c r="AB152" s="47">
        <f>Y152*(1+Input!$B$36)</f>
        <v>752.59771177500022</v>
      </c>
      <c r="AC152" s="47">
        <f>Z152*(1+Input!$B$36)</f>
        <v>752.59771177500022</v>
      </c>
      <c r="AD152" s="47">
        <f>AA152*(1+Input!$B$36)</f>
        <v>752.59771177500022</v>
      </c>
      <c r="AE152" s="47">
        <f>AB152*(1+Input!$B$36)</f>
        <v>790.22759736375031</v>
      </c>
      <c r="AF152" s="47">
        <f>AC152*(1+Input!$B$36)</f>
        <v>790.22759736375031</v>
      </c>
      <c r="AG152" s="47">
        <f>AD152*(1+Input!$B$36)</f>
        <v>790.22759736375031</v>
      </c>
      <c r="AH152" s="47">
        <f>AE152*(1+Input!$B$36)</f>
        <v>829.73897723193784</v>
      </c>
      <c r="AI152" s="47">
        <f>AF152*(1+Input!$B$36)</f>
        <v>829.73897723193784</v>
      </c>
      <c r="AJ152" s="47">
        <f>AG152*(1+Input!$B$36)</f>
        <v>829.73897723193784</v>
      </c>
      <c r="AK152" s="47" t="s">
        <v>98</v>
      </c>
    </row>
    <row r="153" spans="5:37" x14ac:dyDescent="0.25">
      <c r="E153" s="64" t="str">
        <f>Input!A244</f>
        <v>Year 9</v>
      </c>
      <c r="F153" s="57">
        <f>Input!B244</f>
        <v>104</v>
      </c>
      <c r="J153" s="47">
        <f>$F153*Input!$B$33*Input!$B$28*Input!$B$11</f>
        <v>561.6</v>
      </c>
      <c r="K153" s="47">
        <f>$F153*Input!$B$33*Input!$B$28*Input!$B$11</f>
        <v>561.6</v>
      </c>
      <c r="L153" s="47">
        <f>$F153*Input!$B$33*Input!$B$28*Input!$B$11</f>
        <v>561.6</v>
      </c>
      <c r="M153" s="47">
        <f>J153*(1+Input!$B$36)</f>
        <v>589.68000000000006</v>
      </c>
      <c r="N153" s="47">
        <f>K153*(1+Input!$B$36)</f>
        <v>589.68000000000006</v>
      </c>
      <c r="O153" s="47">
        <f>L153*(1+Input!$B$36)</f>
        <v>589.68000000000006</v>
      </c>
      <c r="P153" s="47">
        <f>M153*(1+Input!$B$36)</f>
        <v>619.1640000000001</v>
      </c>
      <c r="Q153" s="47">
        <f>N153*(1+Input!$B$36)</f>
        <v>619.1640000000001</v>
      </c>
      <c r="R153" s="47">
        <f>O153*(1+Input!$B$36)</f>
        <v>619.1640000000001</v>
      </c>
      <c r="S153" s="47">
        <f>P153*(1+Input!$B$36)</f>
        <v>650.12220000000013</v>
      </c>
      <c r="T153" s="47">
        <f>Q153*(1+Input!$B$36)</f>
        <v>650.12220000000013</v>
      </c>
      <c r="U153" s="47">
        <f>R153*(1+Input!$B$36)</f>
        <v>650.12220000000013</v>
      </c>
      <c r="V153" s="47">
        <f>S153*(1+Input!$B$36)</f>
        <v>682.62831000000017</v>
      </c>
      <c r="W153" s="47">
        <f>T153*(1+Input!$B$36)</f>
        <v>682.62831000000017</v>
      </c>
      <c r="X153" s="47">
        <f>U153*(1+Input!$B$36)</f>
        <v>682.62831000000017</v>
      </c>
      <c r="Y153" s="47">
        <f>V153*(1+Input!$B$36)</f>
        <v>716.75972550000017</v>
      </c>
      <c r="Z153" s="47">
        <f>W153*(1+Input!$B$36)</f>
        <v>716.75972550000017</v>
      </c>
      <c r="AA153" s="47">
        <f>X153*(1+Input!$B$36)</f>
        <v>716.75972550000017</v>
      </c>
      <c r="AB153" s="47">
        <f>Y153*(1+Input!$B$36)</f>
        <v>752.59771177500022</v>
      </c>
      <c r="AC153" s="47">
        <f>Z153*(1+Input!$B$36)</f>
        <v>752.59771177500022</v>
      </c>
      <c r="AD153" s="47">
        <f>AA153*(1+Input!$B$36)</f>
        <v>752.59771177500022</v>
      </c>
      <c r="AE153" s="47">
        <f>AB153*(1+Input!$B$36)</f>
        <v>790.22759736375031</v>
      </c>
      <c r="AF153" s="47">
        <f>AC153*(1+Input!$B$36)</f>
        <v>790.22759736375031</v>
      </c>
      <c r="AG153" s="47">
        <f>AD153*(1+Input!$B$36)</f>
        <v>790.22759736375031</v>
      </c>
      <c r="AH153" s="47">
        <f>AE153*(1+Input!$B$36)</f>
        <v>829.73897723193784</v>
      </c>
      <c r="AI153" s="47">
        <f>AF153*(1+Input!$B$36)</f>
        <v>829.73897723193784</v>
      </c>
      <c r="AJ153" s="47">
        <f>AG153*(1+Input!$B$36)</f>
        <v>829.73897723193784</v>
      </c>
      <c r="AK153" s="47" t="s">
        <v>98</v>
      </c>
    </row>
    <row r="154" spans="5:37" x14ac:dyDescent="0.25">
      <c r="E154" s="64" t="str">
        <f>Input!A245</f>
        <v>Year 10</v>
      </c>
      <c r="F154" s="57">
        <f>Input!B245</f>
        <v>104</v>
      </c>
      <c r="J154" s="47">
        <f>$F154*Input!$B$33*Input!$B$28*Input!$B$11</f>
        <v>561.6</v>
      </c>
      <c r="K154" s="47">
        <f>$F154*Input!$B$33*Input!$B$28*Input!$B$11</f>
        <v>561.6</v>
      </c>
      <c r="L154" s="47">
        <f>$F154*Input!$B$33*Input!$B$28*Input!$B$11</f>
        <v>561.6</v>
      </c>
      <c r="M154" s="47">
        <f>J154*(1+Input!$B$36)</f>
        <v>589.68000000000006</v>
      </c>
      <c r="N154" s="47">
        <f>K154*(1+Input!$B$36)</f>
        <v>589.68000000000006</v>
      </c>
      <c r="O154" s="47">
        <f>L154*(1+Input!$B$36)</f>
        <v>589.68000000000006</v>
      </c>
      <c r="P154" s="47">
        <f>M154*(1+Input!$B$36)</f>
        <v>619.1640000000001</v>
      </c>
      <c r="Q154" s="47">
        <f>N154*(1+Input!$B$36)</f>
        <v>619.1640000000001</v>
      </c>
      <c r="R154" s="47">
        <f>O154*(1+Input!$B$36)</f>
        <v>619.1640000000001</v>
      </c>
      <c r="S154" s="47">
        <f>P154*(1+Input!$B$36)</f>
        <v>650.12220000000013</v>
      </c>
      <c r="T154" s="47">
        <f>Q154*(1+Input!$B$36)</f>
        <v>650.12220000000013</v>
      </c>
      <c r="U154" s="47">
        <f>R154*(1+Input!$B$36)</f>
        <v>650.12220000000013</v>
      </c>
      <c r="V154" s="47">
        <f>S154*(1+Input!$B$36)</f>
        <v>682.62831000000017</v>
      </c>
      <c r="W154" s="47">
        <f>T154*(1+Input!$B$36)</f>
        <v>682.62831000000017</v>
      </c>
      <c r="X154" s="47">
        <f>U154*(1+Input!$B$36)</f>
        <v>682.62831000000017</v>
      </c>
      <c r="Y154" s="47">
        <f>V154*(1+Input!$B$36)</f>
        <v>716.75972550000017</v>
      </c>
      <c r="Z154" s="47">
        <f>W154*(1+Input!$B$36)</f>
        <v>716.75972550000017</v>
      </c>
      <c r="AA154" s="47">
        <f>X154*(1+Input!$B$36)</f>
        <v>716.75972550000017</v>
      </c>
      <c r="AB154" s="47">
        <f>Y154*(1+Input!$B$36)</f>
        <v>752.59771177500022</v>
      </c>
      <c r="AC154" s="47">
        <f>Z154*(1+Input!$B$36)</f>
        <v>752.59771177500022</v>
      </c>
      <c r="AD154" s="47">
        <f>AA154*(1+Input!$B$36)</f>
        <v>752.59771177500022</v>
      </c>
      <c r="AE154" s="47">
        <f>AB154*(1+Input!$B$36)</f>
        <v>790.22759736375031</v>
      </c>
      <c r="AF154" s="47">
        <f>AC154*(1+Input!$B$36)</f>
        <v>790.22759736375031</v>
      </c>
      <c r="AG154" s="47">
        <f>AD154*(1+Input!$B$36)</f>
        <v>790.22759736375031</v>
      </c>
      <c r="AH154" s="47">
        <f>AE154*(1+Input!$B$36)</f>
        <v>829.73897723193784</v>
      </c>
      <c r="AI154" s="47">
        <f>AF154*(1+Input!$B$36)</f>
        <v>829.73897723193784</v>
      </c>
      <c r="AJ154" s="47">
        <f>AG154*(1+Input!$B$36)</f>
        <v>829.73897723193784</v>
      </c>
      <c r="AK154" s="47" t="s">
        <v>98</v>
      </c>
    </row>
    <row r="155" spans="5:37" x14ac:dyDescent="0.25">
      <c r="E155" s="64" t="str">
        <f>Input!A246</f>
        <v>Year 11</v>
      </c>
      <c r="F155" s="57">
        <f>Input!B246</f>
        <v>104</v>
      </c>
      <c r="J155" s="47">
        <f>$F155*Input!$B$33*Input!$B$28*Input!$B$11</f>
        <v>561.6</v>
      </c>
      <c r="K155" s="47">
        <f>$F155*Input!$B$33*Input!$B$28*Input!$B$11</f>
        <v>561.6</v>
      </c>
      <c r="L155" s="47">
        <f>$F155*Input!$B$33*Input!$B$28*Input!$B$11</f>
        <v>561.6</v>
      </c>
      <c r="M155" s="47">
        <f>J155*(1+Input!$B$36)</f>
        <v>589.68000000000006</v>
      </c>
      <c r="N155" s="47">
        <f>K155*(1+Input!$B$36)</f>
        <v>589.68000000000006</v>
      </c>
      <c r="O155" s="47">
        <f>L155*(1+Input!$B$36)</f>
        <v>589.68000000000006</v>
      </c>
      <c r="P155" s="47">
        <f>M155*(1+Input!$B$36)</f>
        <v>619.1640000000001</v>
      </c>
      <c r="Q155" s="47">
        <f>N155*(1+Input!$B$36)</f>
        <v>619.1640000000001</v>
      </c>
      <c r="R155" s="47">
        <f>O155*(1+Input!$B$36)</f>
        <v>619.1640000000001</v>
      </c>
      <c r="S155" s="47">
        <f>P155*(1+Input!$B$36)</f>
        <v>650.12220000000013</v>
      </c>
      <c r="T155" s="47">
        <f>Q155*(1+Input!$B$36)</f>
        <v>650.12220000000013</v>
      </c>
      <c r="U155" s="47">
        <f>R155*(1+Input!$B$36)</f>
        <v>650.12220000000013</v>
      </c>
      <c r="V155" s="47">
        <f>S155*(1+Input!$B$36)</f>
        <v>682.62831000000017</v>
      </c>
      <c r="W155" s="47">
        <f>T155*(1+Input!$B$36)</f>
        <v>682.62831000000017</v>
      </c>
      <c r="X155" s="47">
        <f>U155*(1+Input!$B$36)</f>
        <v>682.62831000000017</v>
      </c>
      <c r="Y155" s="47">
        <f>V155*(1+Input!$B$36)</f>
        <v>716.75972550000017</v>
      </c>
      <c r="Z155" s="47">
        <f>W155*(1+Input!$B$36)</f>
        <v>716.75972550000017</v>
      </c>
      <c r="AA155" s="47">
        <f>X155*(1+Input!$B$36)</f>
        <v>716.75972550000017</v>
      </c>
      <c r="AB155" s="47">
        <f>Y155*(1+Input!$B$36)</f>
        <v>752.59771177500022</v>
      </c>
      <c r="AC155" s="47">
        <f>Z155*(1+Input!$B$36)</f>
        <v>752.59771177500022</v>
      </c>
      <c r="AD155" s="47">
        <f>AA155*(1+Input!$B$36)</f>
        <v>752.59771177500022</v>
      </c>
      <c r="AE155" s="47">
        <f>AB155*(1+Input!$B$36)</f>
        <v>790.22759736375031</v>
      </c>
      <c r="AF155" s="47">
        <f>AC155*(1+Input!$B$36)</f>
        <v>790.22759736375031</v>
      </c>
      <c r="AG155" s="47">
        <f>AD155*(1+Input!$B$36)</f>
        <v>790.22759736375031</v>
      </c>
      <c r="AH155" s="47">
        <f>AE155*(1+Input!$B$36)</f>
        <v>829.73897723193784</v>
      </c>
      <c r="AI155" s="47">
        <f>AF155*(1+Input!$B$36)</f>
        <v>829.73897723193784</v>
      </c>
      <c r="AJ155" s="47">
        <f>AG155*(1+Input!$B$36)</f>
        <v>829.73897723193784</v>
      </c>
      <c r="AK155" s="47" t="s">
        <v>98</v>
      </c>
    </row>
    <row r="156" spans="5:37" x14ac:dyDescent="0.25">
      <c r="E156" s="64" t="str">
        <f>Input!A247</f>
        <v>Year 12</v>
      </c>
      <c r="F156" s="57">
        <f>Input!B247</f>
        <v>104</v>
      </c>
      <c r="J156" s="47">
        <f>$F156*Input!$B$33*Input!$B$28*Input!$B$11</f>
        <v>561.6</v>
      </c>
      <c r="K156" s="47">
        <f>$F156*Input!$B$33*Input!$B$28*Input!$B$11</f>
        <v>561.6</v>
      </c>
      <c r="L156" s="47">
        <f>$F156*Input!$B$33*Input!$B$28*Input!$B$11</f>
        <v>561.6</v>
      </c>
      <c r="M156" s="47">
        <f>J156*(1+Input!$B$36)</f>
        <v>589.68000000000006</v>
      </c>
      <c r="N156" s="47">
        <f>K156*(1+Input!$B$36)</f>
        <v>589.68000000000006</v>
      </c>
      <c r="O156" s="47">
        <f>L156*(1+Input!$B$36)</f>
        <v>589.68000000000006</v>
      </c>
      <c r="P156" s="47">
        <f>M156*(1+Input!$B$36)</f>
        <v>619.1640000000001</v>
      </c>
      <c r="Q156" s="47">
        <f>N156*(1+Input!$B$36)</f>
        <v>619.1640000000001</v>
      </c>
      <c r="R156" s="47">
        <f>O156*(1+Input!$B$36)</f>
        <v>619.1640000000001</v>
      </c>
      <c r="S156" s="47">
        <f>P156*(1+Input!$B$36)</f>
        <v>650.12220000000013</v>
      </c>
      <c r="T156" s="47">
        <f>Q156*(1+Input!$B$36)</f>
        <v>650.12220000000013</v>
      </c>
      <c r="U156" s="47">
        <f>R156*(1+Input!$B$36)</f>
        <v>650.12220000000013</v>
      </c>
      <c r="V156" s="47">
        <f>S156*(1+Input!$B$36)</f>
        <v>682.62831000000017</v>
      </c>
      <c r="W156" s="47">
        <f>T156*(1+Input!$B$36)</f>
        <v>682.62831000000017</v>
      </c>
      <c r="X156" s="47">
        <f>U156*(1+Input!$B$36)</f>
        <v>682.62831000000017</v>
      </c>
      <c r="Y156" s="47">
        <f>V156*(1+Input!$B$36)</f>
        <v>716.75972550000017</v>
      </c>
      <c r="Z156" s="47">
        <f>W156*(1+Input!$B$36)</f>
        <v>716.75972550000017</v>
      </c>
      <c r="AA156" s="47">
        <f>X156*(1+Input!$B$36)</f>
        <v>716.75972550000017</v>
      </c>
      <c r="AB156" s="47">
        <f>Y156*(1+Input!$B$36)</f>
        <v>752.59771177500022</v>
      </c>
      <c r="AC156" s="47">
        <f>Z156*(1+Input!$B$36)</f>
        <v>752.59771177500022</v>
      </c>
      <c r="AD156" s="47">
        <f>AA156*(1+Input!$B$36)</f>
        <v>752.59771177500022</v>
      </c>
      <c r="AE156" s="47">
        <f>AB156*(1+Input!$B$36)</f>
        <v>790.22759736375031</v>
      </c>
      <c r="AF156" s="47">
        <f>AC156*(1+Input!$B$36)</f>
        <v>790.22759736375031</v>
      </c>
      <c r="AG156" s="47">
        <f>AD156*(1+Input!$B$36)</f>
        <v>790.22759736375031</v>
      </c>
      <c r="AH156" s="47">
        <f>AE156*(1+Input!$B$36)</f>
        <v>829.73897723193784</v>
      </c>
      <c r="AI156" s="47">
        <f>AF156*(1+Input!$B$36)</f>
        <v>829.73897723193784</v>
      </c>
      <c r="AJ156" s="47">
        <f>AG156*(1+Input!$B$36)</f>
        <v>829.73897723193784</v>
      </c>
      <c r="AK156" s="47" t="s">
        <v>98</v>
      </c>
    </row>
    <row r="157" spans="5:37" x14ac:dyDescent="0.25">
      <c r="E157" s="64" t="str">
        <f>Input!A248</f>
        <v>Year 13</v>
      </c>
      <c r="F157" s="57">
        <f>Input!B248</f>
        <v>104</v>
      </c>
      <c r="J157" s="47">
        <f>$F157*Input!$B$33*Input!$B$28*Input!$B$11</f>
        <v>561.6</v>
      </c>
      <c r="K157" s="47">
        <f>$F157*Input!$B$33*Input!$B$28*Input!$B$11</f>
        <v>561.6</v>
      </c>
      <c r="L157" s="47">
        <f>$F157*Input!$B$33*Input!$B$28*Input!$B$11</f>
        <v>561.6</v>
      </c>
      <c r="M157" s="47">
        <f>J157*(1+Input!$B$36)</f>
        <v>589.68000000000006</v>
      </c>
      <c r="N157" s="47">
        <f>K157*(1+Input!$B$36)</f>
        <v>589.68000000000006</v>
      </c>
      <c r="O157" s="47">
        <f>L157*(1+Input!$B$36)</f>
        <v>589.68000000000006</v>
      </c>
      <c r="P157" s="47">
        <f>M157*(1+Input!$B$36)</f>
        <v>619.1640000000001</v>
      </c>
      <c r="Q157" s="47">
        <f>N157*(1+Input!$B$36)</f>
        <v>619.1640000000001</v>
      </c>
      <c r="R157" s="47">
        <f>O157*(1+Input!$B$36)</f>
        <v>619.1640000000001</v>
      </c>
      <c r="S157" s="47">
        <f>P157*(1+Input!$B$36)</f>
        <v>650.12220000000013</v>
      </c>
      <c r="T157" s="47">
        <f>Q157*(1+Input!$B$36)</f>
        <v>650.12220000000013</v>
      </c>
      <c r="U157" s="47">
        <f>R157*(1+Input!$B$36)</f>
        <v>650.12220000000013</v>
      </c>
      <c r="V157" s="47">
        <f>S157*(1+Input!$B$36)</f>
        <v>682.62831000000017</v>
      </c>
      <c r="W157" s="47">
        <f>T157*(1+Input!$B$36)</f>
        <v>682.62831000000017</v>
      </c>
      <c r="X157" s="47">
        <f>U157*(1+Input!$B$36)</f>
        <v>682.62831000000017</v>
      </c>
      <c r="Y157" s="47">
        <f>V157*(1+Input!$B$36)</f>
        <v>716.75972550000017</v>
      </c>
      <c r="Z157" s="47">
        <f>W157*(1+Input!$B$36)</f>
        <v>716.75972550000017</v>
      </c>
      <c r="AA157" s="47">
        <f>X157*(1+Input!$B$36)</f>
        <v>716.75972550000017</v>
      </c>
      <c r="AB157" s="47">
        <f>Y157*(1+Input!$B$36)</f>
        <v>752.59771177500022</v>
      </c>
      <c r="AC157" s="47">
        <f>Z157*(1+Input!$B$36)</f>
        <v>752.59771177500022</v>
      </c>
      <c r="AD157" s="47">
        <f>AA157*(1+Input!$B$36)</f>
        <v>752.59771177500022</v>
      </c>
      <c r="AE157" s="47">
        <f>AB157*(1+Input!$B$36)</f>
        <v>790.22759736375031</v>
      </c>
      <c r="AF157" s="47">
        <f>AC157*(1+Input!$B$36)</f>
        <v>790.22759736375031</v>
      </c>
      <c r="AG157" s="47">
        <f>AD157*(1+Input!$B$36)</f>
        <v>790.22759736375031</v>
      </c>
      <c r="AH157" s="47">
        <f>AE157*(1+Input!$B$36)</f>
        <v>829.73897723193784</v>
      </c>
      <c r="AI157" s="47">
        <f>AF157*(1+Input!$B$36)</f>
        <v>829.73897723193784</v>
      </c>
      <c r="AJ157" s="47">
        <f>AG157*(1+Input!$B$36)</f>
        <v>829.73897723193784</v>
      </c>
      <c r="AK157" s="47" t="s">
        <v>98</v>
      </c>
    </row>
    <row r="158" spans="5:37" x14ac:dyDescent="0.25">
      <c r="E158" s="64" t="str">
        <f>Input!A249</f>
        <v>Year 14</v>
      </c>
      <c r="F158" s="57">
        <f>Input!B249</f>
        <v>104</v>
      </c>
      <c r="J158" s="47">
        <f>$F158*Input!$B$33*Input!$B$28*Input!$B$11</f>
        <v>561.6</v>
      </c>
      <c r="K158" s="47">
        <f>$F158*Input!$B$33*Input!$B$28*Input!$B$11</f>
        <v>561.6</v>
      </c>
      <c r="L158" s="47">
        <f>$F158*Input!$B$33*Input!$B$28*Input!$B$11</f>
        <v>561.6</v>
      </c>
      <c r="M158" s="47">
        <f>J158*(1+Input!$B$36)</f>
        <v>589.68000000000006</v>
      </c>
      <c r="N158" s="47">
        <f>K158*(1+Input!$B$36)</f>
        <v>589.68000000000006</v>
      </c>
      <c r="O158" s="47">
        <f>L158*(1+Input!$B$36)</f>
        <v>589.68000000000006</v>
      </c>
      <c r="P158" s="47">
        <f>M158*(1+Input!$B$36)</f>
        <v>619.1640000000001</v>
      </c>
      <c r="Q158" s="47">
        <f>N158*(1+Input!$B$36)</f>
        <v>619.1640000000001</v>
      </c>
      <c r="R158" s="47">
        <f>O158*(1+Input!$B$36)</f>
        <v>619.1640000000001</v>
      </c>
      <c r="S158" s="47">
        <f>P158*(1+Input!$B$36)</f>
        <v>650.12220000000013</v>
      </c>
      <c r="T158" s="47">
        <f>Q158*(1+Input!$B$36)</f>
        <v>650.12220000000013</v>
      </c>
      <c r="U158" s="47">
        <f>R158*(1+Input!$B$36)</f>
        <v>650.12220000000013</v>
      </c>
      <c r="V158" s="47">
        <f>S158*(1+Input!$B$36)</f>
        <v>682.62831000000017</v>
      </c>
      <c r="W158" s="47">
        <f>T158*(1+Input!$B$36)</f>
        <v>682.62831000000017</v>
      </c>
      <c r="X158" s="47">
        <f>U158*(1+Input!$B$36)</f>
        <v>682.62831000000017</v>
      </c>
      <c r="Y158" s="47">
        <f>V158*(1+Input!$B$36)</f>
        <v>716.75972550000017</v>
      </c>
      <c r="Z158" s="47">
        <f>W158*(1+Input!$B$36)</f>
        <v>716.75972550000017</v>
      </c>
      <c r="AA158" s="47">
        <f>X158*(1+Input!$B$36)</f>
        <v>716.75972550000017</v>
      </c>
      <c r="AB158" s="47">
        <f>Y158*(1+Input!$B$36)</f>
        <v>752.59771177500022</v>
      </c>
      <c r="AC158" s="47">
        <f>Z158*(1+Input!$B$36)</f>
        <v>752.59771177500022</v>
      </c>
      <c r="AD158" s="47">
        <f>AA158*(1+Input!$B$36)</f>
        <v>752.59771177500022</v>
      </c>
      <c r="AE158" s="47">
        <f>AB158*(1+Input!$B$36)</f>
        <v>790.22759736375031</v>
      </c>
      <c r="AF158" s="47">
        <f>AC158*(1+Input!$B$36)</f>
        <v>790.22759736375031</v>
      </c>
      <c r="AG158" s="47">
        <f>AD158*(1+Input!$B$36)</f>
        <v>790.22759736375031</v>
      </c>
      <c r="AH158" s="47">
        <f>AE158*(1+Input!$B$36)</f>
        <v>829.73897723193784</v>
      </c>
      <c r="AI158" s="47">
        <f>AF158*(1+Input!$B$36)</f>
        <v>829.73897723193784</v>
      </c>
      <c r="AJ158" s="47">
        <f>AG158*(1+Input!$B$36)</f>
        <v>829.73897723193784</v>
      </c>
      <c r="AK158" s="47" t="s">
        <v>98</v>
      </c>
    </row>
    <row r="159" spans="5:37" x14ac:dyDescent="0.25">
      <c r="E159" s="64" t="s">
        <v>112</v>
      </c>
      <c r="F159" s="57"/>
      <c r="J159" s="47">
        <f>SUM(J140:J158)</f>
        <v>10670.400000000003</v>
      </c>
      <c r="K159" s="47">
        <f t="shared" ref="K159:AJ159" si="6">SUM(K140:K158)</f>
        <v>10670.400000000003</v>
      </c>
      <c r="L159" s="47">
        <f t="shared" si="6"/>
        <v>10670.400000000003</v>
      </c>
      <c r="M159" s="47">
        <f t="shared" si="6"/>
        <v>11203.920000000004</v>
      </c>
      <c r="N159" s="47">
        <f t="shared" si="6"/>
        <v>11203.920000000004</v>
      </c>
      <c r="O159" s="47">
        <f t="shared" si="6"/>
        <v>11203.920000000004</v>
      </c>
      <c r="P159" s="47">
        <f t="shared" si="6"/>
        <v>11764.116000000004</v>
      </c>
      <c r="Q159" s="47">
        <f t="shared" si="6"/>
        <v>11764.116000000004</v>
      </c>
      <c r="R159" s="47">
        <f t="shared" si="6"/>
        <v>11764.116000000004</v>
      </c>
      <c r="S159" s="47">
        <f t="shared" si="6"/>
        <v>12352.3218</v>
      </c>
      <c r="T159" s="47">
        <f t="shared" si="6"/>
        <v>12352.3218</v>
      </c>
      <c r="U159" s="47">
        <f t="shared" si="6"/>
        <v>12352.3218</v>
      </c>
      <c r="V159" s="47">
        <f t="shared" si="6"/>
        <v>12969.937890000003</v>
      </c>
      <c r="W159" s="47">
        <f t="shared" si="6"/>
        <v>12969.937890000003</v>
      </c>
      <c r="X159" s="47">
        <f t="shared" si="6"/>
        <v>12969.937890000003</v>
      </c>
      <c r="Y159" s="47">
        <f t="shared" si="6"/>
        <v>13618.434784500003</v>
      </c>
      <c r="Z159" s="47">
        <f t="shared" si="6"/>
        <v>13618.434784500003</v>
      </c>
      <c r="AA159" s="47">
        <f t="shared" si="6"/>
        <v>13618.434784500003</v>
      </c>
      <c r="AB159" s="47">
        <f t="shared" si="6"/>
        <v>14299.356523725008</v>
      </c>
      <c r="AC159" s="47">
        <f t="shared" si="6"/>
        <v>14299.356523725008</v>
      </c>
      <c r="AD159" s="47">
        <f t="shared" si="6"/>
        <v>14299.356523725008</v>
      </c>
      <c r="AE159" s="47">
        <f t="shared" si="6"/>
        <v>15014.324349911252</v>
      </c>
      <c r="AF159" s="47">
        <f t="shared" si="6"/>
        <v>15014.324349911252</v>
      </c>
      <c r="AG159" s="47">
        <f t="shared" si="6"/>
        <v>15014.324349911252</v>
      </c>
      <c r="AH159" s="47">
        <f t="shared" si="6"/>
        <v>15765.040567406822</v>
      </c>
      <c r="AI159" s="47">
        <f t="shared" si="6"/>
        <v>15765.040567406822</v>
      </c>
      <c r="AJ159" s="47">
        <f t="shared" si="6"/>
        <v>15765.040567406822</v>
      </c>
      <c r="AK159" s="47" t="s">
        <v>98</v>
      </c>
    </row>
    <row r="160" spans="5:37" x14ac:dyDescent="0.25">
      <c r="E160" s="64"/>
      <c r="F160" s="57"/>
    </row>
    <row r="161" spans="3:37" x14ac:dyDescent="0.25">
      <c r="C161" s="64" t="str">
        <f>Input!A251</f>
        <v>First Aid &amp; Toiletries</v>
      </c>
      <c r="E161" s="64"/>
      <c r="F161" s="57"/>
      <c r="AK161" s="47" t="s">
        <v>98</v>
      </c>
    </row>
    <row r="162" spans="3:37" x14ac:dyDescent="0.25">
      <c r="E162" s="64" t="str">
        <f>Input!A252</f>
        <v>Creche</v>
      </c>
      <c r="F162" s="57">
        <f>Input!B252</f>
        <v>125</v>
      </c>
      <c r="J162" s="47">
        <f>$F162*Input!$B$33*Input!$B$28*Input!$B$11</f>
        <v>675</v>
      </c>
      <c r="K162" s="47">
        <f>$F162*Input!$B$33*Input!$B$28*Input!$B$11</f>
        <v>675</v>
      </c>
      <c r="L162" s="47">
        <f>$F162*Input!$B$33*Input!$B$28*Input!$B$11</f>
        <v>675</v>
      </c>
      <c r="M162" s="47">
        <f>J162*(1+Input!$B$36)</f>
        <v>708.75</v>
      </c>
      <c r="N162" s="47">
        <f>K162*(1+Input!$B$36)</f>
        <v>708.75</v>
      </c>
      <c r="O162" s="47">
        <f>L162*(1+Input!$B$36)</f>
        <v>708.75</v>
      </c>
      <c r="P162" s="47">
        <f>M162*(1+Input!$B$36)</f>
        <v>744.1875</v>
      </c>
      <c r="Q162" s="47">
        <f>N162*(1+Input!$B$36)</f>
        <v>744.1875</v>
      </c>
      <c r="R162" s="47">
        <f>O162*(1+Input!$B$36)</f>
        <v>744.1875</v>
      </c>
      <c r="S162" s="47">
        <f>P162*(1+Input!$B$36)</f>
        <v>781.39687500000002</v>
      </c>
      <c r="T162" s="47">
        <f>Q162*(1+Input!$B$36)</f>
        <v>781.39687500000002</v>
      </c>
      <c r="U162" s="47">
        <f>R162*(1+Input!$B$36)</f>
        <v>781.39687500000002</v>
      </c>
      <c r="V162" s="47">
        <f>S162*(1+Input!$B$36)</f>
        <v>820.46671875000004</v>
      </c>
      <c r="W162" s="47">
        <f>T162*(1+Input!$B$36)</f>
        <v>820.46671875000004</v>
      </c>
      <c r="X162" s="47">
        <f>U162*(1+Input!$B$36)</f>
        <v>820.46671875000004</v>
      </c>
      <c r="Y162" s="47">
        <f>V162*(1+Input!$B$36)</f>
        <v>861.49005468750011</v>
      </c>
      <c r="Z162" s="47">
        <f>W162*(1+Input!$B$36)</f>
        <v>861.49005468750011</v>
      </c>
      <c r="AA162" s="47">
        <f>X162*(1+Input!$B$36)</f>
        <v>861.49005468750011</v>
      </c>
      <c r="AB162" s="47">
        <f>Y162*(1+Input!$B$36)</f>
        <v>904.56455742187518</v>
      </c>
      <c r="AC162" s="47">
        <f>Z162*(1+Input!$B$36)</f>
        <v>904.56455742187518</v>
      </c>
      <c r="AD162" s="47">
        <f>AA162*(1+Input!$B$36)</f>
        <v>904.56455742187518</v>
      </c>
      <c r="AE162" s="47">
        <f>AB162*(1+Input!$B$36)</f>
        <v>949.79278529296903</v>
      </c>
      <c r="AF162" s="47">
        <f>AC162*(1+Input!$B$36)</f>
        <v>949.79278529296903</v>
      </c>
      <c r="AG162" s="47">
        <f>AD162*(1+Input!$B$36)</f>
        <v>949.79278529296903</v>
      </c>
      <c r="AH162" s="47">
        <f>AE162*(1+Input!$B$36)</f>
        <v>997.28242455761756</v>
      </c>
      <c r="AI162" s="47">
        <f>AF162*(1+Input!$B$36)</f>
        <v>997.28242455761756</v>
      </c>
      <c r="AJ162" s="47">
        <f>AG162*(1+Input!$B$36)</f>
        <v>997.28242455761756</v>
      </c>
      <c r="AK162" s="47" t="s">
        <v>98</v>
      </c>
    </row>
    <row r="163" spans="3:37" x14ac:dyDescent="0.25">
      <c r="E163" s="64" t="str">
        <f>Input!A253</f>
        <v>Playgroup</v>
      </c>
      <c r="F163" s="57">
        <f>Input!B253</f>
        <v>125</v>
      </c>
      <c r="J163" s="47">
        <f>$F163*Input!$B$33*Input!$B$28*Input!$B$11</f>
        <v>675</v>
      </c>
      <c r="K163" s="47">
        <f>$F163*Input!$B$33*Input!$B$28*Input!$B$11</f>
        <v>675</v>
      </c>
      <c r="L163" s="47">
        <f>$F163*Input!$B$33*Input!$B$28*Input!$B$11</f>
        <v>675</v>
      </c>
      <c r="M163" s="47">
        <f>J163*(1+Input!$B$36)</f>
        <v>708.75</v>
      </c>
      <c r="N163" s="47">
        <f>K163*(1+Input!$B$36)</f>
        <v>708.75</v>
      </c>
      <c r="O163" s="47">
        <f>L163*(1+Input!$B$36)</f>
        <v>708.75</v>
      </c>
      <c r="P163" s="47">
        <f>M163*(1+Input!$B$36)</f>
        <v>744.1875</v>
      </c>
      <c r="Q163" s="47">
        <f>N163*(1+Input!$B$36)</f>
        <v>744.1875</v>
      </c>
      <c r="R163" s="47">
        <f>O163*(1+Input!$B$36)</f>
        <v>744.1875</v>
      </c>
      <c r="S163" s="47">
        <f>P163*(1+Input!$B$36)</f>
        <v>781.39687500000002</v>
      </c>
      <c r="T163" s="47">
        <f>Q163*(1+Input!$B$36)</f>
        <v>781.39687500000002</v>
      </c>
      <c r="U163" s="47">
        <f>R163*(1+Input!$B$36)</f>
        <v>781.39687500000002</v>
      </c>
      <c r="V163" s="47">
        <f>S163*(1+Input!$B$36)</f>
        <v>820.46671875000004</v>
      </c>
      <c r="W163" s="47">
        <f>T163*(1+Input!$B$36)</f>
        <v>820.46671875000004</v>
      </c>
      <c r="X163" s="47">
        <f>U163*(1+Input!$B$36)</f>
        <v>820.46671875000004</v>
      </c>
      <c r="Y163" s="47">
        <f>V163*(1+Input!$B$36)</f>
        <v>861.49005468750011</v>
      </c>
      <c r="Z163" s="47">
        <f>W163*(1+Input!$B$36)</f>
        <v>861.49005468750011</v>
      </c>
      <c r="AA163" s="47">
        <f>X163*(1+Input!$B$36)</f>
        <v>861.49005468750011</v>
      </c>
      <c r="AB163" s="47">
        <f>Y163*(1+Input!$B$36)</f>
        <v>904.56455742187518</v>
      </c>
      <c r="AC163" s="47">
        <f>Z163*(1+Input!$B$36)</f>
        <v>904.56455742187518</v>
      </c>
      <c r="AD163" s="47">
        <f>AA163*(1+Input!$B$36)</f>
        <v>904.56455742187518</v>
      </c>
      <c r="AE163" s="47">
        <f>AB163*(1+Input!$B$36)</f>
        <v>949.79278529296903</v>
      </c>
      <c r="AF163" s="47">
        <f>AC163*(1+Input!$B$36)</f>
        <v>949.79278529296903</v>
      </c>
      <c r="AG163" s="47">
        <f>AD163*(1+Input!$B$36)</f>
        <v>949.79278529296903</v>
      </c>
      <c r="AH163" s="47">
        <f>AE163*(1+Input!$B$36)</f>
        <v>997.28242455761756</v>
      </c>
      <c r="AI163" s="47">
        <f>AF163*(1+Input!$B$36)</f>
        <v>997.28242455761756</v>
      </c>
      <c r="AJ163" s="47">
        <f>AG163*(1+Input!$B$36)</f>
        <v>997.28242455761756</v>
      </c>
      <c r="AK163" s="47" t="s">
        <v>98</v>
      </c>
    </row>
    <row r="164" spans="3:37" x14ac:dyDescent="0.25">
      <c r="E164" s="64" t="str">
        <f>Input!A254</f>
        <v xml:space="preserve">Nursery </v>
      </c>
      <c r="F164" s="57">
        <f>Input!B254</f>
        <v>125</v>
      </c>
      <c r="J164" s="47">
        <f>$F164*Input!$B$33*Input!$B$28*Input!$B$11</f>
        <v>675</v>
      </c>
      <c r="K164" s="47">
        <f>$F164*Input!$B$33*Input!$B$28*Input!$B$11</f>
        <v>675</v>
      </c>
      <c r="L164" s="47">
        <f>$F164*Input!$B$33*Input!$B$28*Input!$B$11</f>
        <v>675</v>
      </c>
      <c r="M164" s="47">
        <f>J164*(1+Input!$B$36)</f>
        <v>708.75</v>
      </c>
      <c r="N164" s="47">
        <f>K164*(1+Input!$B$36)</f>
        <v>708.75</v>
      </c>
      <c r="O164" s="47">
        <f>L164*(1+Input!$B$36)</f>
        <v>708.75</v>
      </c>
      <c r="P164" s="47">
        <f>M164*(1+Input!$B$36)</f>
        <v>744.1875</v>
      </c>
      <c r="Q164" s="47">
        <f>N164*(1+Input!$B$36)</f>
        <v>744.1875</v>
      </c>
      <c r="R164" s="47">
        <f>O164*(1+Input!$B$36)</f>
        <v>744.1875</v>
      </c>
      <c r="S164" s="47">
        <f>P164*(1+Input!$B$36)</f>
        <v>781.39687500000002</v>
      </c>
      <c r="T164" s="47">
        <f>Q164*(1+Input!$B$36)</f>
        <v>781.39687500000002</v>
      </c>
      <c r="U164" s="47">
        <f>R164*(1+Input!$B$36)</f>
        <v>781.39687500000002</v>
      </c>
      <c r="V164" s="47">
        <f>S164*(1+Input!$B$36)</f>
        <v>820.46671875000004</v>
      </c>
      <c r="W164" s="47">
        <f>T164*(1+Input!$B$36)</f>
        <v>820.46671875000004</v>
      </c>
      <c r="X164" s="47">
        <f>U164*(1+Input!$B$36)</f>
        <v>820.46671875000004</v>
      </c>
      <c r="Y164" s="47">
        <f>V164*(1+Input!$B$36)</f>
        <v>861.49005468750011</v>
      </c>
      <c r="Z164" s="47">
        <f>W164*(1+Input!$B$36)</f>
        <v>861.49005468750011</v>
      </c>
      <c r="AA164" s="47">
        <f>X164*(1+Input!$B$36)</f>
        <v>861.49005468750011</v>
      </c>
      <c r="AB164" s="47">
        <f>Y164*(1+Input!$B$36)</f>
        <v>904.56455742187518</v>
      </c>
      <c r="AC164" s="47">
        <f>Z164*(1+Input!$B$36)</f>
        <v>904.56455742187518</v>
      </c>
      <c r="AD164" s="47">
        <f>AA164*(1+Input!$B$36)</f>
        <v>904.56455742187518</v>
      </c>
      <c r="AE164" s="47">
        <f>AB164*(1+Input!$B$36)</f>
        <v>949.79278529296903</v>
      </c>
      <c r="AF164" s="47">
        <f>AC164*(1+Input!$B$36)</f>
        <v>949.79278529296903</v>
      </c>
      <c r="AG164" s="47">
        <f>AD164*(1+Input!$B$36)</f>
        <v>949.79278529296903</v>
      </c>
      <c r="AH164" s="47">
        <f>AE164*(1+Input!$B$36)</f>
        <v>997.28242455761756</v>
      </c>
      <c r="AI164" s="47">
        <f>AF164*(1+Input!$B$36)</f>
        <v>997.28242455761756</v>
      </c>
      <c r="AJ164" s="47">
        <f>AG164*(1+Input!$B$36)</f>
        <v>997.28242455761756</v>
      </c>
      <c r="AK164" s="47" t="s">
        <v>98</v>
      </c>
    </row>
    <row r="165" spans="3:37" x14ac:dyDescent="0.25">
      <c r="E165" s="64" t="str">
        <f>Input!A255</f>
        <v xml:space="preserve">Reception 1 </v>
      </c>
      <c r="F165" s="57">
        <f>Input!B255</f>
        <v>125</v>
      </c>
      <c r="J165" s="47">
        <f>$F165*Input!$B$33*Input!$B$28*Input!$B$11</f>
        <v>675</v>
      </c>
      <c r="K165" s="47">
        <f>$F165*Input!$B$33*Input!$B$28*Input!$B$11</f>
        <v>675</v>
      </c>
      <c r="L165" s="47">
        <f>$F165*Input!$B$33*Input!$B$28*Input!$B$11</f>
        <v>675</v>
      </c>
      <c r="M165" s="47">
        <f>J165*(1+Input!$B$36)</f>
        <v>708.75</v>
      </c>
      <c r="N165" s="47">
        <f>K165*(1+Input!$B$36)</f>
        <v>708.75</v>
      </c>
      <c r="O165" s="47">
        <f>L165*(1+Input!$B$36)</f>
        <v>708.75</v>
      </c>
      <c r="P165" s="47">
        <f>M165*(1+Input!$B$36)</f>
        <v>744.1875</v>
      </c>
      <c r="Q165" s="47">
        <f>N165*(1+Input!$B$36)</f>
        <v>744.1875</v>
      </c>
      <c r="R165" s="47">
        <f>O165*(1+Input!$B$36)</f>
        <v>744.1875</v>
      </c>
      <c r="S165" s="47">
        <f>P165*(1+Input!$B$36)</f>
        <v>781.39687500000002</v>
      </c>
      <c r="T165" s="47">
        <f>Q165*(1+Input!$B$36)</f>
        <v>781.39687500000002</v>
      </c>
      <c r="U165" s="47">
        <f>R165*(1+Input!$B$36)</f>
        <v>781.39687500000002</v>
      </c>
      <c r="V165" s="47">
        <f>S165*(1+Input!$B$36)</f>
        <v>820.46671875000004</v>
      </c>
      <c r="W165" s="47">
        <f>T165*(1+Input!$B$36)</f>
        <v>820.46671875000004</v>
      </c>
      <c r="X165" s="47">
        <f>U165*(1+Input!$B$36)</f>
        <v>820.46671875000004</v>
      </c>
      <c r="Y165" s="47">
        <f>V165*(1+Input!$B$36)</f>
        <v>861.49005468750011</v>
      </c>
      <c r="Z165" s="47">
        <f>W165*(1+Input!$B$36)</f>
        <v>861.49005468750011</v>
      </c>
      <c r="AA165" s="47">
        <f>X165*(1+Input!$B$36)</f>
        <v>861.49005468750011</v>
      </c>
      <c r="AB165" s="47">
        <f>Y165*(1+Input!$B$36)</f>
        <v>904.56455742187518</v>
      </c>
      <c r="AC165" s="47">
        <f>Z165*(1+Input!$B$36)</f>
        <v>904.56455742187518</v>
      </c>
      <c r="AD165" s="47">
        <f>AA165*(1+Input!$B$36)</f>
        <v>904.56455742187518</v>
      </c>
      <c r="AE165" s="47">
        <f>AB165*(1+Input!$B$36)</f>
        <v>949.79278529296903</v>
      </c>
      <c r="AF165" s="47">
        <f>AC165*(1+Input!$B$36)</f>
        <v>949.79278529296903</v>
      </c>
      <c r="AG165" s="47">
        <f>AD165*(1+Input!$B$36)</f>
        <v>949.79278529296903</v>
      </c>
      <c r="AH165" s="47">
        <f>AE165*(1+Input!$B$36)</f>
        <v>997.28242455761756</v>
      </c>
      <c r="AI165" s="47">
        <f>AF165*(1+Input!$B$36)</f>
        <v>997.28242455761756</v>
      </c>
      <c r="AJ165" s="47">
        <f>AG165*(1+Input!$B$36)</f>
        <v>997.28242455761756</v>
      </c>
      <c r="AK165" s="47" t="s">
        <v>98</v>
      </c>
    </row>
    <row r="166" spans="3:37" x14ac:dyDescent="0.25">
      <c r="E166" s="64" t="str">
        <f>Input!A256</f>
        <v xml:space="preserve">Reception 2 </v>
      </c>
      <c r="F166" s="57">
        <f>Input!B256</f>
        <v>125</v>
      </c>
      <c r="J166" s="47">
        <f>$F166*Input!$B$33*Input!$B$28*Input!$B$11</f>
        <v>675</v>
      </c>
      <c r="K166" s="47">
        <f>$F166*Input!$B$33*Input!$B$28*Input!$B$11</f>
        <v>675</v>
      </c>
      <c r="L166" s="47">
        <f>$F166*Input!$B$33*Input!$B$28*Input!$B$11</f>
        <v>675</v>
      </c>
      <c r="M166" s="47">
        <f>J166*(1+Input!$B$36)</f>
        <v>708.75</v>
      </c>
      <c r="N166" s="47">
        <f>K166*(1+Input!$B$36)</f>
        <v>708.75</v>
      </c>
      <c r="O166" s="47">
        <f>L166*(1+Input!$B$36)</f>
        <v>708.75</v>
      </c>
      <c r="P166" s="47">
        <f>M166*(1+Input!$B$36)</f>
        <v>744.1875</v>
      </c>
      <c r="Q166" s="47">
        <f>N166*(1+Input!$B$36)</f>
        <v>744.1875</v>
      </c>
      <c r="R166" s="47">
        <f>O166*(1+Input!$B$36)</f>
        <v>744.1875</v>
      </c>
      <c r="S166" s="47">
        <f>P166*(1+Input!$B$36)</f>
        <v>781.39687500000002</v>
      </c>
      <c r="T166" s="47">
        <f>Q166*(1+Input!$B$36)</f>
        <v>781.39687500000002</v>
      </c>
      <c r="U166" s="47">
        <f>R166*(1+Input!$B$36)</f>
        <v>781.39687500000002</v>
      </c>
      <c r="V166" s="47">
        <f>S166*(1+Input!$B$36)</f>
        <v>820.46671875000004</v>
      </c>
      <c r="W166" s="47">
        <f>T166*(1+Input!$B$36)</f>
        <v>820.46671875000004</v>
      </c>
      <c r="X166" s="47">
        <f>U166*(1+Input!$B$36)</f>
        <v>820.46671875000004</v>
      </c>
      <c r="Y166" s="47">
        <f>V166*(1+Input!$B$36)</f>
        <v>861.49005468750011</v>
      </c>
      <c r="Z166" s="47">
        <f>W166*(1+Input!$B$36)</f>
        <v>861.49005468750011</v>
      </c>
      <c r="AA166" s="47">
        <f>X166*(1+Input!$B$36)</f>
        <v>861.49005468750011</v>
      </c>
      <c r="AB166" s="47">
        <f>Y166*(1+Input!$B$36)</f>
        <v>904.56455742187518</v>
      </c>
      <c r="AC166" s="47">
        <f>Z166*(1+Input!$B$36)</f>
        <v>904.56455742187518</v>
      </c>
      <c r="AD166" s="47">
        <f>AA166*(1+Input!$B$36)</f>
        <v>904.56455742187518</v>
      </c>
      <c r="AE166" s="47">
        <f>AB166*(1+Input!$B$36)</f>
        <v>949.79278529296903</v>
      </c>
      <c r="AF166" s="47">
        <f>AC166*(1+Input!$B$36)</f>
        <v>949.79278529296903</v>
      </c>
      <c r="AG166" s="47">
        <f>AD166*(1+Input!$B$36)</f>
        <v>949.79278529296903</v>
      </c>
      <c r="AH166" s="47">
        <f>AE166*(1+Input!$B$36)</f>
        <v>997.28242455761756</v>
      </c>
      <c r="AI166" s="47">
        <f>AF166*(1+Input!$B$36)</f>
        <v>997.28242455761756</v>
      </c>
      <c r="AJ166" s="47">
        <f>AG166*(1+Input!$B$36)</f>
        <v>997.28242455761756</v>
      </c>
      <c r="AK166" s="47" t="s">
        <v>98</v>
      </c>
    </row>
    <row r="167" spans="3:37" x14ac:dyDescent="0.25">
      <c r="E167" s="64" t="str">
        <f>Input!A257</f>
        <v>Year 1</v>
      </c>
      <c r="F167" s="57">
        <f>Input!B257</f>
        <v>125</v>
      </c>
      <c r="J167" s="47">
        <f>$F167*Input!$B$33*Input!$B$28*Input!$B$11</f>
        <v>675</v>
      </c>
      <c r="K167" s="47">
        <f>$F167*Input!$B$33*Input!$B$28*Input!$B$11</f>
        <v>675</v>
      </c>
      <c r="L167" s="47">
        <f>$F167*Input!$B$33*Input!$B$28*Input!$B$11</f>
        <v>675</v>
      </c>
      <c r="M167" s="47">
        <f>J167*(1+Input!$B$36)</f>
        <v>708.75</v>
      </c>
      <c r="N167" s="47">
        <f>K167*(1+Input!$B$36)</f>
        <v>708.75</v>
      </c>
      <c r="O167" s="47">
        <f>L167*(1+Input!$B$36)</f>
        <v>708.75</v>
      </c>
      <c r="P167" s="47">
        <f>M167*(1+Input!$B$36)</f>
        <v>744.1875</v>
      </c>
      <c r="Q167" s="47">
        <f>N167*(1+Input!$B$36)</f>
        <v>744.1875</v>
      </c>
      <c r="R167" s="47">
        <f>O167*(1+Input!$B$36)</f>
        <v>744.1875</v>
      </c>
      <c r="S167" s="47">
        <f>P167*(1+Input!$B$36)</f>
        <v>781.39687500000002</v>
      </c>
      <c r="T167" s="47">
        <f>Q167*(1+Input!$B$36)</f>
        <v>781.39687500000002</v>
      </c>
      <c r="U167" s="47">
        <f>R167*(1+Input!$B$36)</f>
        <v>781.39687500000002</v>
      </c>
      <c r="V167" s="47">
        <f>S167*(1+Input!$B$36)</f>
        <v>820.46671875000004</v>
      </c>
      <c r="W167" s="47">
        <f>T167*(1+Input!$B$36)</f>
        <v>820.46671875000004</v>
      </c>
      <c r="X167" s="47">
        <f>U167*(1+Input!$B$36)</f>
        <v>820.46671875000004</v>
      </c>
      <c r="Y167" s="47">
        <f>V167*(1+Input!$B$36)</f>
        <v>861.49005468750011</v>
      </c>
      <c r="Z167" s="47">
        <f>W167*(1+Input!$B$36)</f>
        <v>861.49005468750011</v>
      </c>
      <c r="AA167" s="47">
        <f>X167*(1+Input!$B$36)</f>
        <v>861.49005468750011</v>
      </c>
      <c r="AB167" s="47">
        <f>Y167*(1+Input!$B$36)</f>
        <v>904.56455742187518</v>
      </c>
      <c r="AC167" s="47">
        <f>Z167*(1+Input!$B$36)</f>
        <v>904.56455742187518</v>
      </c>
      <c r="AD167" s="47">
        <f>AA167*(1+Input!$B$36)</f>
        <v>904.56455742187518</v>
      </c>
      <c r="AE167" s="47">
        <f>AB167*(1+Input!$B$36)</f>
        <v>949.79278529296903</v>
      </c>
      <c r="AF167" s="47">
        <f>AC167*(1+Input!$B$36)</f>
        <v>949.79278529296903</v>
      </c>
      <c r="AG167" s="47">
        <f>AD167*(1+Input!$B$36)</f>
        <v>949.79278529296903</v>
      </c>
      <c r="AH167" s="47">
        <f>AE167*(1+Input!$B$36)</f>
        <v>997.28242455761756</v>
      </c>
      <c r="AI167" s="47">
        <f>AF167*(1+Input!$B$36)</f>
        <v>997.28242455761756</v>
      </c>
      <c r="AJ167" s="47">
        <f>AG167*(1+Input!$B$36)</f>
        <v>997.28242455761756</v>
      </c>
      <c r="AK167" s="47" t="s">
        <v>98</v>
      </c>
    </row>
    <row r="168" spans="3:37" x14ac:dyDescent="0.25">
      <c r="E168" s="64" t="str">
        <f>Input!A258</f>
        <v>Year 2</v>
      </c>
      <c r="F168" s="57">
        <f>Input!B258</f>
        <v>125</v>
      </c>
      <c r="J168" s="47">
        <f>$F168*Input!$B$33*Input!$B$28*Input!$B$11</f>
        <v>675</v>
      </c>
      <c r="K168" s="47">
        <f>$F168*Input!$B$33*Input!$B$28*Input!$B$11</f>
        <v>675</v>
      </c>
      <c r="L168" s="47">
        <f>$F168*Input!$B$33*Input!$B$28*Input!$B$11</f>
        <v>675</v>
      </c>
      <c r="M168" s="47">
        <f>J168*(1+Input!$B$36)</f>
        <v>708.75</v>
      </c>
      <c r="N168" s="47">
        <f>K168*(1+Input!$B$36)</f>
        <v>708.75</v>
      </c>
      <c r="O168" s="47">
        <f>L168*(1+Input!$B$36)</f>
        <v>708.75</v>
      </c>
      <c r="P168" s="47">
        <f>M168*(1+Input!$B$36)</f>
        <v>744.1875</v>
      </c>
      <c r="Q168" s="47">
        <f>N168*(1+Input!$B$36)</f>
        <v>744.1875</v>
      </c>
      <c r="R168" s="47">
        <f>O168*(1+Input!$B$36)</f>
        <v>744.1875</v>
      </c>
      <c r="S168" s="47">
        <f>P168*(1+Input!$B$36)</f>
        <v>781.39687500000002</v>
      </c>
      <c r="T168" s="47">
        <f>Q168*(1+Input!$B$36)</f>
        <v>781.39687500000002</v>
      </c>
      <c r="U168" s="47">
        <f>R168*(1+Input!$B$36)</f>
        <v>781.39687500000002</v>
      </c>
      <c r="V168" s="47">
        <f>S168*(1+Input!$B$36)</f>
        <v>820.46671875000004</v>
      </c>
      <c r="W168" s="47">
        <f>T168*(1+Input!$B$36)</f>
        <v>820.46671875000004</v>
      </c>
      <c r="X168" s="47">
        <f>U168*(1+Input!$B$36)</f>
        <v>820.46671875000004</v>
      </c>
      <c r="Y168" s="47">
        <f>V168*(1+Input!$B$36)</f>
        <v>861.49005468750011</v>
      </c>
      <c r="Z168" s="47">
        <f>W168*(1+Input!$B$36)</f>
        <v>861.49005468750011</v>
      </c>
      <c r="AA168" s="47">
        <f>X168*(1+Input!$B$36)</f>
        <v>861.49005468750011</v>
      </c>
      <c r="AB168" s="47">
        <f>Y168*(1+Input!$B$36)</f>
        <v>904.56455742187518</v>
      </c>
      <c r="AC168" s="47">
        <f>Z168*(1+Input!$B$36)</f>
        <v>904.56455742187518</v>
      </c>
      <c r="AD168" s="47">
        <f>AA168*(1+Input!$B$36)</f>
        <v>904.56455742187518</v>
      </c>
      <c r="AE168" s="47">
        <f>AB168*(1+Input!$B$36)</f>
        <v>949.79278529296903</v>
      </c>
      <c r="AF168" s="47">
        <f>AC168*(1+Input!$B$36)</f>
        <v>949.79278529296903</v>
      </c>
      <c r="AG168" s="47">
        <f>AD168*(1+Input!$B$36)</f>
        <v>949.79278529296903</v>
      </c>
      <c r="AH168" s="47">
        <f>AE168*(1+Input!$B$36)</f>
        <v>997.28242455761756</v>
      </c>
      <c r="AI168" s="47">
        <f>AF168*(1+Input!$B$36)</f>
        <v>997.28242455761756</v>
      </c>
      <c r="AJ168" s="47">
        <f>AG168*(1+Input!$B$36)</f>
        <v>997.28242455761756</v>
      </c>
      <c r="AK168" s="47" t="s">
        <v>98</v>
      </c>
    </row>
    <row r="169" spans="3:37" x14ac:dyDescent="0.25">
      <c r="E169" s="64" t="str">
        <f>Input!A259</f>
        <v>Year 3</v>
      </c>
      <c r="F169" s="57">
        <f>Input!B259</f>
        <v>125</v>
      </c>
      <c r="J169" s="47">
        <f>$F169*Input!$B$33*Input!$B$28*Input!$B$11</f>
        <v>675</v>
      </c>
      <c r="K169" s="47">
        <f>$F169*Input!$B$33*Input!$B$28*Input!$B$11</f>
        <v>675</v>
      </c>
      <c r="L169" s="47">
        <f>$F169*Input!$B$33*Input!$B$28*Input!$B$11</f>
        <v>675</v>
      </c>
      <c r="M169" s="47">
        <f>J169*(1+Input!$B$36)</f>
        <v>708.75</v>
      </c>
      <c r="N169" s="47">
        <f>K169*(1+Input!$B$36)</f>
        <v>708.75</v>
      </c>
      <c r="O169" s="47">
        <f>L169*(1+Input!$B$36)</f>
        <v>708.75</v>
      </c>
      <c r="P169" s="47">
        <f>M169*(1+Input!$B$36)</f>
        <v>744.1875</v>
      </c>
      <c r="Q169" s="47">
        <f>N169*(1+Input!$B$36)</f>
        <v>744.1875</v>
      </c>
      <c r="R169" s="47">
        <f>O169*(1+Input!$B$36)</f>
        <v>744.1875</v>
      </c>
      <c r="S169" s="47">
        <f>P169*(1+Input!$B$36)</f>
        <v>781.39687500000002</v>
      </c>
      <c r="T169" s="47">
        <f>Q169*(1+Input!$B$36)</f>
        <v>781.39687500000002</v>
      </c>
      <c r="U169" s="47">
        <f>R169*(1+Input!$B$36)</f>
        <v>781.39687500000002</v>
      </c>
      <c r="V169" s="47">
        <f>S169*(1+Input!$B$36)</f>
        <v>820.46671875000004</v>
      </c>
      <c r="W169" s="47">
        <f>T169*(1+Input!$B$36)</f>
        <v>820.46671875000004</v>
      </c>
      <c r="X169" s="47">
        <f>U169*(1+Input!$B$36)</f>
        <v>820.46671875000004</v>
      </c>
      <c r="Y169" s="47">
        <f>V169*(1+Input!$B$36)</f>
        <v>861.49005468750011</v>
      </c>
      <c r="Z169" s="47">
        <f>W169*(1+Input!$B$36)</f>
        <v>861.49005468750011</v>
      </c>
      <c r="AA169" s="47">
        <f>X169*(1+Input!$B$36)</f>
        <v>861.49005468750011</v>
      </c>
      <c r="AB169" s="47">
        <f>Y169*(1+Input!$B$36)</f>
        <v>904.56455742187518</v>
      </c>
      <c r="AC169" s="47">
        <f>Z169*(1+Input!$B$36)</f>
        <v>904.56455742187518</v>
      </c>
      <c r="AD169" s="47">
        <f>AA169*(1+Input!$B$36)</f>
        <v>904.56455742187518</v>
      </c>
      <c r="AE169" s="47">
        <f>AB169*(1+Input!$B$36)</f>
        <v>949.79278529296903</v>
      </c>
      <c r="AF169" s="47">
        <f>AC169*(1+Input!$B$36)</f>
        <v>949.79278529296903</v>
      </c>
      <c r="AG169" s="47">
        <f>AD169*(1+Input!$B$36)</f>
        <v>949.79278529296903</v>
      </c>
      <c r="AH169" s="47">
        <f>AE169*(1+Input!$B$36)</f>
        <v>997.28242455761756</v>
      </c>
      <c r="AI169" s="47">
        <f>AF169*(1+Input!$B$36)</f>
        <v>997.28242455761756</v>
      </c>
      <c r="AJ169" s="47">
        <f>AG169*(1+Input!$B$36)</f>
        <v>997.28242455761756</v>
      </c>
      <c r="AK169" s="47" t="s">
        <v>98</v>
      </c>
    </row>
    <row r="170" spans="3:37" x14ac:dyDescent="0.25">
      <c r="E170" s="64" t="str">
        <f>Input!A260</f>
        <v>Year 4</v>
      </c>
      <c r="F170" s="57">
        <f>Input!B260</f>
        <v>125</v>
      </c>
      <c r="J170" s="47">
        <f>$F170*Input!$B$33*Input!$B$28*Input!$B$11</f>
        <v>675</v>
      </c>
      <c r="K170" s="47">
        <f>$F170*Input!$B$33*Input!$B$28*Input!$B$11</f>
        <v>675</v>
      </c>
      <c r="L170" s="47">
        <f>$F170*Input!$B$33*Input!$B$28*Input!$B$11</f>
        <v>675</v>
      </c>
      <c r="M170" s="47">
        <f>J170*(1+Input!$B$36)</f>
        <v>708.75</v>
      </c>
      <c r="N170" s="47">
        <f>K170*(1+Input!$B$36)</f>
        <v>708.75</v>
      </c>
      <c r="O170" s="47">
        <f>L170*(1+Input!$B$36)</f>
        <v>708.75</v>
      </c>
      <c r="P170" s="47">
        <f>M170*(1+Input!$B$36)</f>
        <v>744.1875</v>
      </c>
      <c r="Q170" s="47">
        <f>N170*(1+Input!$B$36)</f>
        <v>744.1875</v>
      </c>
      <c r="R170" s="47">
        <f>O170*(1+Input!$B$36)</f>
        <v>744.1875</v>
      </c>
      <c r="S170" s="47">
        <f>P170*(1+Input!$B$36)</f>
        <v>781.39687500000002</v>
      </c>
      <c r="T170" s="47">
        <f>Q170*(1+Input!$B$36)</f>
        <v>781.39687500000002</v>
      </c>
      <c r="U170" s="47">
        <f>R170*(1+Input!$B$36)</f>
        <v>781.39687500000002</v>
      </c>
      <c r="V170" s="47">
        <f>S170*(1+Input!$B$36)</f>
        <v>820.46671875000004</v>
      </c>
      <c r="W170" s="47">
        <f>T170*(1+Input!$B$36)</f>
        <v>820.46671875000004</v>
      </c>
      <c r="X170" s="47">
        <f>U170*(1+Input!$B$36)</f>
        <v>820.46671875000004</v>
      </c>
      <c r="Y170" s="47">
        <f>V170*(1+Input!$B$36)</f>
        <v>861.49005468750011</v>
      </c>
      <c r="Z170" s="47">
        <f>W170*(1+Input!$B$36)</f>
        <v>861.49005468750011</v>
      </c>
      <c r="AA170" s="47">
        <f>X170*(1+Input!$B$36)</f>
        <v>861.49005468750011</v>
      </c>
      <c r="AB170" s="47">
        <f>Y170*(1+Input!$B$36)</f>
        <v>904.56455742187518</v>
      </c>
      <c r="AC170" s="47">
        <f>Z170*(1+Input!$B$36)</f>
        <v>904.56455742187518</v>
      </c>
      <c r="AD170" s="47">
        <f>AA170*(1+Input!$B$36)</f>
        <v>904.56455742187518</v>
      </c>
      <c r="AE170" s="47">
        <f>AB170*(1+Input!$B$36)</f>
        <v>949.79278529296903</v>
      </c>
      <c r="AF170" s="47">
        <f>AC170*(1+Input!$B$36)</f>
        <v>949.79278529296903</v>
      </c>
      <c r="AG170" s="47">
        <f>AD170*(1+Input!$B$36)</f>
        <v>949.79278529296903</v>
      </c>
      <c r="AH170" s="47">
        <f>AE170*(1+Input!$B$36)</f>
        <v>997.28242455761756</v>
      </c>
      <c r="AI170" s="47">
        <f>AF170*(1+Input!$B$36)</f>
        <v>997.28242455761756</v>
      </c>
      <c r="AJ170" s="47">
        <f>AG170*(1+Input!$B$36)</f>
        <v>997.28242455761756</v>
      </c>
      <c r="AK170" s="47" t="s">
        <v>98</v>
      </c>
    </row>
    <row r="171" spans="3:37" x14ac:dyDescent="0.25">
      <c r="E171" s="64" t="str">
        <f>Input!A261</f>
        <v>Year 5</v>
      </c>
      <c r="F171" s="57">
        <f>Input!B261</f>
        <v>125</v>
      </c>
      <c r="J171" s="47">
        <f>$F171*Input!$B$33*Input!$B$28*Input!$B$11</f>
        <v>675</v>
      </c>
      <c r="K171" s="47">
        <f>$F171*Input!$B$33*Input!$B$28*Input!$B$11</f>
        <v>675</v>
      </c>
      <c r="L171" s="47">
        <f>$F171*Input!$B$33*Input!$B$28*Input!$B$11</f>
        <v>675</v>
      </c>
      <c r="M171" s="47">
        <f>J171*(1+Input!$B$36)</f>
        <v>708.75</v>
      </c>
      <c r="N171" s="47">
        <f>K171*(1+Input!$B$36)</f>
        <v>708.75</v>
      </c>
      <c r="O171" s="47">
        <f>L171*(1+Input!$B$36)</f>
        <v>708.75</v>
      </c>
      <c r="P171" s="47">
        <f>M171*(1+Input!$B$36)</f>
        <v>744.1875</v>
      </c>
      <c r="Q171" s="47">
        <f>N171*(1+Input!$B$36)</f>
        <v>744.1875</v>
      </c>
      <c r="R171" s="47">
        <f>O171*(1+Input!$B$36)</f>
        <v>744.1875</v>
      </c>
      <c r="S171" s="47">
        <f>P171*(1+Input!$B$36)</f>
        <v>781.39687500000002</v>
      </c>
      <c r="T171" s="47">
        <f>Q171*(1+Input!$B$36)</f>
        <v>781.39687500000002</v>
      </c>
      <c r="U171" s="47">
        <f>R171*(1+Input!$B$36)</f>
        <v>781.39687500000002</v>
      </c>
      <c r="V171" s="47">
        <f>S171*(1+Input!$B$36)</f>
        <v>820.46671875000004</v>
      </c>
      <c r="W171" s="47">
        <f>T171*(1+Input!$B$36)</f>
        <v>820.46671875000004</v>
      </c>
      <c r="X171" s="47">
        <f>U171*(1+Input!$B$36)</f>
        <v>820.46671875000004</v>
      </c>
      <c r="Y171" s="47">
        <f>V171*(1+Input!$B$36)</f>
        <v>861.49005468750011</v>
      </c>
      <c r="Z171" s="47">
        <f>W171*(1+Input!$B$36)</f>
        <v>861.49005468750011</v>
      </c>
      <c r="AA171" s="47">
        <f>X171*(1+Input!$B$36)</f>
        <v>861.49005468750011</v>
      </c>
      <c r="AB171" s="47">
        <f>Y171*(1+Input!$B$36)</f>
        <v>904.56455742187518</v>
      </c>
      <c r="AC171" s="47">
        <f>Z171*(1+Input!$B$36)</f>
        <v>904.56455742187518</v>
      </c>
      <c r="AD171" s="47">
        <f>AA171*(1+Input!$B$36)</f>
        <v>904.56455742187518</v>
      </c>
      <c r="AE171" s="47">
        <f>AB171*(1+Input!$B$36)</f>
        <v>949.79278529296903</v>
      </c>
      <c r="AF171" s="47">
        <f>AC171*(1+Input!$B$36)</f>
        <v>949.79278529296903</v>
      </c>
      <c r="AG171" s="47">
        <f>AD171*(1+Input!$B$36)</f>
        <v>949.79278529296903</v>
      </c>
      <c r="AH171" s="47">
        <f>AE171*(1+Input!$B$36)</f>
        <v>997.28242455761756</v>
      </c>
      <c r="AI171" s="47">
        <f>AF171*(1+Input!$B$36)</f>
        <v>997.28242455761756</v>
      </c>
      <c r="AJ171" s="47">
        <f>AG171*(1+Input!$B$36)</f>
        <v>997.28242455761756</v>
      </c>
      <c r="AK171" s="47" t="s">
        <v>98</v>
      </c>
    </row>
    <row r="172" spans="3:37" x14ac:dyDescent="0.25">
      <c r="E172" s="64" t="str">
        <f>Input!A262</f>
        <v>Year 6</v>
      </c>
      <c r="F172" s="57">
        <f>Input!B262</f>
        <v>125</v>
      </c>
      <c r="J172" s="47">
        <f>$F172*Input!$B$33*Input!$B$28*Input!$B$11</f>
        <v>675</v>
      </c>
      <c r="K172" s="47">
        <f>$F172*Input!$B$33*Input!$B$28*Input!$B$11</f>
        <v>675</v>
      </c>
      <c r="L172" s="47">
        <f>$F172*Input!$B$33*Input!$B$28*Input!$B$11</f>
        <v>675</v>
      </c>
      <c r="M172" s="47">
        <f>J172*(1+Input!$B$36)</f>
        <v>708.75</v>
      </c>
      <c r="N172" s="47">
        <f>K172*(1+Input!$B$36)</f>
        <v>708.75</v>
      </c>
      <c r="O172" s="47">
        <f>L172*(1+Input!$B$36)</f>
        <v>708.75</v>
      </c>
      <c r="P172" s="47">
        <f>M172*(1+Input!$B$36)</f>
        <v>744.1875</v>
      </c>
      <c r="Q172" s="47">
        <f>N172*(1+Input!$B$36)</f>
        <v>744.1875</v>
      </c>
      <c r="R172" s="47">
        <f>O172*(1+Input!$B$36)</f>
        <v>744.1875</v>
      </c>
      <c r="S172" s="47">
        <f>P172*(1+Input!$B$36)</f>
        <v>781.39687500000002</v>
      </c>
      <c r="T172" s="47">
        <f>Q172*(1+Input!$B$36)</f>
        <v>781.39687500000002</v>
      </c>
      <c r="U172" s="47">
        <f>R172*(1+Input!$B$36)</f>
        <v>781.39687500000002</v>
      </c>
      <c r="V172" s="47">
        <f>S172*(1+Input!$B$36)</f>
        <v>820.46671875000004</v>
      </c>
      <c r="W172" s="47">
        <f>T172*(1+Input!$B$36)</f>
        <v>820.46671875000004</v>
      </c>
      <c r="X172" s="47">
        <f>U172*(1+Input!$B$36)</f>
        <v>820.46671875000004</v>
      </c>
      <c r="Y172" s="47">
        <f>V172*(1+Input!$B$36)</f>
        <v>861.49005468750011</v>
      </c>
      <c r="Z172" s="47">
        <f>W172*(1+Input!$B$36)</f>
        <v>861.49005468750011</v>
      </c>
      <c r="AA172" s="47">
        <f>X172*(1+Input!$B$36)</f>
        <v>861.49005468750011</v>
      </c>
      <c r="AB172" s="47">
        <f>Y172*(1+Input!$B$36)</f>
        <v>904.56455742187518</v>
      </c>
      <c r="AC172" s="47">
        <f>Z172*(1+Input!$B$36)</f>
        <v>904.56455742187518</v>
      </c>
      <c r="AD172" s="47">
        <f>AA172*(1+Input!$B$36)</f>
        <v>904.56455742187518</v>
      </c>
      <c r="AE172" s="47">
        <f>AB172*(1+Input!$B$36)</f>
        <v>949.79278529296903</v>
      </c>
      <c r="AF172" s="47">
        <f>AC172*(1+Input!$B$36)</f>
        <v>949.79278529296903</v>
      </c>
      <c r="AG172" s="47">
        <f>AD172*(1+Input!$B$36)</f>
        <v>949.79278529296903</v>
      </c>
      <c r="AH172" s="47">
        <f>AE172*(1+Input!$B$36)</f>
        <v>997.28242455761756</v>
      </c>
      <c r="AI172" s="47">
        <f>AF172*(1+Input!$B$36)</f>
        <v>997.28242455761756</v>
      </c>
      <c r="AJ172" s="47">
        <f>AG172*(1+Input!$B$36)</f>
        <v>997.28242455761756</v>
      </c>
      <c r="AK172" s="47" t="s">
        <v>98</v>
      </c>
    </row>
    <row r="173" spans="3:37" x14ac:dyDescent="0.25">
      <c r="E173" s="64" t="str">
        <f>Input!A263</f>
        <v>Year 7</v>
      </c>
      <c r="F173" s="57">
        <f>Input!B263</f>
        <v>125</v>
      </c>
      <c r="J173" s="47">
        <f>$F173*Input!$B$33*Input!$B$28*Input!$B$11</f>
        <v>675</v>
      </c>
      <c r="K173" s="47">
        <f>$F173*Input!$B$33*Input!$B$28*Input!$B$11</f>
        <v>675</v>
      </c>
      <c r="L173" s="47">
        <f>$F173*Input!$B$33*Input!$B$28*Input!$B$11</f>
        <v>675</v>
      </c>
      <c r="M173" s="47">
        <f>J173*(1+Input!$B$36)</f>
        <v>708.75</v>
      </c>
      <c r="N173" s="47">
        <f>K173*(1+Input!$B$36)</f>
        <v>708.75</v>
      </c>
      <c r="O173" s="47">
        <f>L173*(1+Input!$B$36)</f>
        <v>708.75</v>
      </c>
      <c r="P173" s="47">
        <f>M173*(1+Input!$B$36)</f>
        <v>744.1875</v>
      </c>
      <c r="Q173" s="47">
        <f>N173*(1+Input!$B$36)</f>
        <v>744.1875</v>
      </c>
      <c r="R173" s="47">
        <f>O173*(1+Input!$B$36)</f>
        <v>744.1875</v>
      </c>
      <c r="S173" s="47">
        <f>P173*(1+Input!$B$36)</f>
        <v>781.39687500000002</v>
      </c>
      <c r="T173" s="47">
        <f>Q173*(1+Input!$B$36)</f>
        <v>781.39687500000002</v>
      </c>
      <c r="U173" s="47">
        <f>R173*(1+Input!$B$36)</f>
        <v>781.39687500000002</v>
      </c>
      <c r="V173" s="47">
        <f>S173*(1+Input!$B$36)</f>
        <v>820.46671875000004</v>
      </c>
      <c r="W173" s="47">
        <f>T173*(1+Input!$B$36)</f>
        <v>820.46671875000004</v>
      </c>
      <c r="X173" s="47">
        <f>U173*(1+Input!$B$36)</f>
        <v>820.46671875000004</v>
      </c>
      <c r="Y173" s="47">
        <f>V173*(1+Input!$B$36)</f>
        <v>861.49005468750011</v>
      </c>
      <c r="Z173" s="47">
        <f>W173*(1+Input!$B$36)</f>
        <v>861.49005468750011</v>
      </c>
      <c r="AA173" s="47">
        <f>X173*(1+Input!$B$36)</f>
        <v>861.49005468750011</v>
      </c>
      <c r="AB173" s="47">
        <f>Y173*(1+Input!$B$36)</f>
        <v>904.56455742187518</v>
      </c>
      <c r="AC173" s="47">
        <f>Z173*(1+Input!$B$36)</f>
        <v>904.56455742187518</v>
      </c>
      <c r="AD173" s="47">
        <f>AA173*(1+Input!$B$36)</f>
        <v>904.56455742187518</v>
      </c>
      <c r="AE173" s="47">
        <f>AB173*(1+Input!$B$36)</f>
        <v>949.79278529296903</v>
      </c>
      <c r="AF173" s="47">
        <f>AC173*(1+Input!$B$36)</f>
        <v>949.79278529296903</v>
      </c>
      <c r="AG173" s="47">
        <f>AD173*(1+Input!$B$36)</f>
        <v>949.79278529296903</v>
      </c>
      <c r="AH173" s="47">
        <f>AE173*(1+Input!$B$36)</f>
        <v>997.28242455761756</v>
      </c>
      <c r="AI173" s="47">
        <f>AF173*(1+Input!$B$36)</f>
        <v>997.28242455761756</v>
      </c>
      <c r="AJ173" s="47">
        <f>AG173*(1+Input!$B$36)</f>
        <v>997.28242455761756</v>
      </c>
      <c r="AK173" s="47" t="s">
        <v>98</v>
      </c>
    </row>
    <row r="174" spans="3:37" x14ac:dyDescent="0.25">
      <c r="E174" s="64" t="str">
        <f>Input!A264</f>
        <v>Year 8</v>
      </c>
      <c r="F174" s="57">
        <f>Input!B264</f>
        <v>125</v>
      </c>
      <c r="J174" s="47">
        <f>$F174*Input!$B$33*Input!$B$28*Input!$B$11</f>
        <v>675</v>
      </c>
      <c r="K174" s="47">
        <f>$F174*Input!$B$33*Input!$B$28*Input!$B$11</f>
        <v>675</v>
      </c>
      <c r="L174" s="47">
        <f>$F174*Input!$B$33*Input!$B$28*Input!$B$11</f>
        <v>675</v>
      </c>
      <c r="M174" s="47">
        <f>J174*(1+Input!$B$36)</f>
        <v>708.75</v>
      </c>
      <c r="N174" s="47">
        <f>K174*(1+Input!$B$36)</f>
        <v>708.75</v>
      </c>
      <c r="O174" s="47">
        <f>L174*(1+Input!$B$36)</f>
        <v>708.75</v>
      </c>
      <c r="P174" s="47">
        <f>M174*(1+Input!$B$36)</f>
        <v>744.1875</v>
      </c>
      <c r="Q174" s="47">
        <f>N174*(1+Input!$B$36)</f>
        <v>744.1875</v>
      </c>
      <c r="R174" s="47">
        <f>O174*(1+Input!$B$36)</f>
        <v>744.1875</v>
      </c>
      <c r="S174" s="47">
        <f>P174*(1+Input!$B$36)</f>
        <v>781.39687500000002</v>
      </c>
      <c r="T174" s="47">
        <f>Q174*(1+Input!$B$36)</f>
        <v>781.39687500000002</v>
      </c>
      <c r="U174" s="47">
        <f>R174*(1+Input!$B$36)</f>
        <v>781.39687500000002</v>
      </c>
      <c r="V174" s="47">
        <f>S174*(1+Input!$B$36)</f>
        <v>820.46671875000004</v>
      </c>
      <c r="W174" s="47">
        <f>T174*(1+Input!$B$36)</f>
        <v>820.46671875000004</v>
      </c>
      <c r="X174" s="47">
        <f>U174*(1+Input!$B$36)</f>
        <v>820.46671875000004</v>
      </c>
      <c r="Y174" s="47">
        <f>V174*(1+Input!$B$36)</f>
        <v>861.49005468750011</v>
      </c>
      <c r="Z174" s="47">
        <f>W174*(1+Input!$B$36)</f>
        <v>861.49005468750011</v>
      </c>
      <c r="AA174" s="47">
        <f>X174*(1+Input!$B$36)</f>
        <v>861.49005468750011</v>
      </c>
      <c r="AB174" s="47">
        <f>Y174*(1+Input!$B$36)</f>
        <v>904.56455742187518</v>
      </c>
      <c r="AC174" s="47">
        <f>Z174*(1+Input!$B$36)</f>
        <v>904.56455742187518</v>
      </c>
      <c r="AD174" s="47">
        <f>AA174*(1+Input!$B$36)</f>
        <v>904.56455742187518</v>
      </c>
      <c r="AE174" s="47">
        <f>AB174*(1+Input!$B$36)</f>
        <v>949.79278529296903</v>
      </c>
      <c r="AF174" s="47">
        <f>AC174*(1+Input!$B$36)</f>
        <v>949.79278529296903</v>
      </c>
      <c r="AG174" s="47">
        <f>AD174*(1+Input!$B$36)</f>
        <v>949.79278529296903</v>
      </c>
      <c r="AH174" s="47">
        <f>AE174*(1+Input!$B$36)</f>
        <v>997.28242455761756</v>
      </c>
      <c r="AI174" s="47">
        <f>AF174*(1+Input!$B$36)</f>
        <v>997.28242455761756</v>
      </c>
      <c r="AJ174" s="47">
        <f>AG174*(1+Input!$B$36)</f>
        <v>997.28242455761756</v>
      </c>
      <c r="AK174" s="47" t="s">
        <v>98</v>
      </c>
    </row>
    <row r="175" spans="3:37" x14ac:dyDescent="0.25">
      <c r="E175" s="64" t="str">
        <f>Input!A265</f>
        <v>Year 9</v>
      </c>
      <c r="F175" s="57">
        <f>Input!B265</f>
        <v>125</v>
      </c>
      <c r="J175" s="47">
        <f>$F175*Input!$B$33*Input!$B$28*Input!$B$11</f>
        <v>675</v>
      </c>
      <c r="K175" s="47">
        <f>$F175*Input!$B$33*Input!$B$28*Input!$B$11</f>
        <v>675</v>
      </c>
      <c r="L175" s="47">
        <f>$F175*Input!$B$33*Input!$B$28*Input!$B$11</f>
        <v>675</v>
      </c>
      <c r="M175" s="47">
        <f>J175*(1+Input!$B$36)</f>
        <v>708.75</v>
      </c>
      <c r="N175" s="47">
        <f>K175*(1+Input!$B$36)</f>
        <v>708.75</v>
      </c>
      <c r="O175" s="47">
        <f>L175*(1+Input!$B$36)</f>
        <v>708.75</v>
      </c>
      <c r="P175" s="47">
        <f>M175*(1+Input!$B$36)</f>
        <v>744.1875</v>
      </c>
      <c r="Q175" s="47">
        <f>N175*(1+Input!$B$36)</f>
        <v>744.1875</v>
      </c>
      <c r="R175" s="47">
        <f>O175*(1+Input!$B$36)</f>
        <v>744.1875</v>
      </c>
      <c r="S175" s="47">
        <f>P175*(1+Input!$B$36)</f>
        <v>781.39687500000002</v>
      </c>
      <c r="T175" s="47">
        <f>Q175*(1+Input!$B$36)</f>
        <v>781.39687500000002</v>
      </c>
      <c r="U175" s="47">
        <f>R175*(1+Input!$B$36)</f>
        <v>781.39687500000002</v>
      </c>
      <c r="V175" s="47">
        <f>S175*(1+Input!$B$36)</f>
        <v>820.46671875000004</v>
      </c>
      <c r="W175" s="47">
        <f>T175*(1+Input!$B$36)</f>
        <v>820.46671875000004</v>
      </c>
      <c r="X175" s="47">
        <f>U175*(1+Input!$B$36)</f>
        <v>820.46671875000004</v>
      </c>
      <c r="Y175" s="47">
        <f>V175*(1+Input!$B$36)</f>
        <v>861.49005468750011</v>
      </c>
      <c r="Z175" s="47">
        <f>W175*(1+Input!$B$36)</f>
        <v>861.49005468750011</v>
      </c>
      <c r="AA175" s="47">
        <f>X175*(1+Input!$B$36)</f>
        <v>861.49005468750011</v>
      </c>
      <c r="AB175" s="47">
        <f>Y175*(1+Input!$B$36)</f>
        <v>904.56455742187518</v>
      </c>
      <c r="AC175" s="47">
        <f>Z175*(1+Input!$B$36)</f>
        <v>904.56455742187518</v>
      </c>
      <c r="AD175" s="47">
        <f>AA175*(1+Input!$B$36)</f>
        <v>904.56455742187518</v>
      </c>
      <c r="AE175" s="47">
        <f>AB175*(1+Input!$B$36)</f>
        <v>949.79278529296903</v>
      </c>
      <c r="AF175" s="47">
        <f>AC175*(1+Input!$B$36)</f>
        <v>949.79278529296903</v>
      </c>
      <c r="AG175" s="47">
        <f>AD175*(1+Input!$B$36)</f>
        <v>949.79278529296903</v>
      </c>
      <c r="AH175" s="47">
        <f>AE175*(1+Input!$B$36)</f>
        <v>997.28242455761756</v>
      </c>
      <c r="AI175" s="47">
        <f>AF175*(1+Input!$B$36)</f>
        <v>997.28242455761756</v>
      </c>
      <c r="AJ175" s="47">
        <f>AG175*(1+Input!$B$36)</f>
        <v>997.28242455761756</v>
      </c>
      <c r="AK175" s="47" t="s">
        <v>98</v>
      </c>
    </row>
    <row r="176" spans="3:37" x14ac:dyDescent="0.25">
      <c r="E176" s="64" t="str">
        <f>Input!A266</f>
        <v>Year 10</v>
      </c>
      <c r="F176" s="57">
        <f>Input!B266</f>
        <v>125</v>
      </c>
      <c r="J176" s="47">
        <f>$F176*Input!$B$33*Input!$B$28*Input!$B$11</f>
        <v>675</v>
      </c>
      <c r="K176" s="47">
        <f>$F176*Input!$B$33*Input!$B$28*Input!$B$11</f>
        <v>675</v>
      </c>
      <c r="L176" s="47">
        <f>$F176*Input!$B$33*Input!$B$28*Input!$B$11</f>
        <v>675</v>
      </c>
      <c r="M176" s="47">
        <f>J176*(1+Input!$B$36)</f>
        <v>708.75</v>
      </c>
      <c r="N176" s="47">
        <f>K176*(1+Input!$B$36)</f>
        <v>708.75</v>
      </c>
      <c r="O176" s="47">
        <f>L176*(1+Input!$B$36)</f>
        <v>708.75</v>
      </c>
      <c r="P176" s="47">
        <f>M176*(1+Input!$B$36)</f>
        <v>744.1875</v>
      </c>
      <c r="Q176" s="47">
        <f>N176*(1+Input!$B$36)</f>
        <v>744.1875</v>
      </c>
      <c r="R176" s="47">
        <f>O176*(1+Input!$B$36)</f>
        <v>744.1875</v>
      </c>
      <c r="S176" s="47">
        <f>P176*(1+Input!$B$36)</f>
        <v>781.39687500000002</v>
      </c>
      <c r="T176" s="47">
        <f>Q176*(1+Input!$B$36)</f>
        <v>781.39687500000002</v>
      </c>
      <c r="U176" s="47">
        <f>R176*(1+Input!$B$36)</f>
        <v>781.39687500000002</v>
      </c>
      <c r="V176" s="47">
        <f>S176*(1+Input!$B$36)</f>
        <v>820.46671875000004</v>
      </c>
      <c r="W176" s="47">
        <f>T176*(1+Input!$B$36)</f>
        <v>820.46671875000004</v>
      </c>
      <c r="X176" s="47">
        <f>U176*(1+Input!$B$36)</f>
        <v>820.46671875000004</v>
      </c>
      <c r="Y176" s="47">
        <f>V176*(1+Input!$B$36)</f>
        <v>861.49005468750011</v>
      </c>
      <c r="Z176" s="47">
        <f>W176*(1+Input!$B$36)</f>
        <v>861.49005468750011</v>
      </c>
      <c r="AA176" s="47">
        <f>X176*(1+Input!$B$36)</f>
        <v>861.49005468750011</v>
      </c>
      <c r="AB176" s="47">
        <f>Y176*(1+Input!$B$36)</f>
        <v>904.56455742187518</v>
      </c>
      <c r="AC176" s="47">
        <f>Z176*(1+Input!$B$36)</f>
        <v>904.56455742187518</v>
      </c>
      <c r="AD176" s="47">
        <f>AA176*(1+Input!$B$36)</f>
        <v>904.56455742187518</v>
      </c>
      <c r="AE176" s="47">
        <f>AB176*(1+Input!$B$36)</f>
        <v>949.79278529296903</v>
      </c>
      <c r="AF176" s="47">
        <f>AC176*(1+Input!$B$36)</f>
        <v>949.79278529296903</v>
      </c>
      <c r="AG176" s="47">
        <f>AD176*(1+Input!$B$36)</f>
        <v>949.79278529296903</v>
      </c>
      <c r="AH176" s="47">
        <f>AE176*(1+Input!$B$36)</f>
        <v>997.28242455761756</v>
      </c>
      <c r="AI176" s="47">
        <f>AF176*(1+Input!$B$36)</f>
        <v>997.28242455761756</v>
      </c>
      <c r="AJ176" s="47">
        <f>AG176*(1+Input!$B$36)</f>
        <v>997.28242455761756</v>
      </c>
      <c r="AK176" s="47" t="s">
        <v>98</v>
      </c>
    </row>
    <row r="177" spans="3:37" x14ac:dyDescent="0.25">
      <c r="E177" s="64" t="str">
        <f>Input!A267</f>
        <v>Year 11</v>
      </c>
      <c r="F177" s="57">
        <f>Input!B267</f>
        <v>125</v>
      </c>
      <c r="J177" s="47">
        <f>$F177*Input!$B$33*Input!$B$28*Input!$B$11</f>
        <v>675</v>
      </c>
      <c r="K177" s="47">
        <f>$F177*Input!$B$33*Input!$B$28*Input!$B$11</f>
        <v>675</v>
      </c>
      <c r="L177" s="47">
        <f>$F177*Input!$B$33*Input!$B$28*Input!$B$11</f>
        <v>675</v>
      </c>
      <c r="M177" s="47">
        <f>J177*(1+Input!$B$36)</f>
        <v>708.75</v>
      </c>
      <c r="N177" s="47">
        <f>K177*(1+Input!$B$36)</f>
        <v>708.75</v>
      </c>
      <c r="O177" s="47">
        <f>L177*(1+Input!$B$36)</f>
        <v>708.75</v>
      </c>
      <c r="P177" s="47">
        <f>M177*(1+Input!$B$36)</f>
        <v>744.1875</v>
      </c>
      <c r="Q177" s="47">
        <f>N177*(1+Input!$B$36)</f>
        <v>744.1875</v>
      </c>
      <c r="R177" s="47">
        <f>O177*(1+Input!$B$36)</f>
        <v>744.1875</v>
      </c>
      <c r="S177" s="47">
        <f>P177*(1+Input!$B$36)</f>
        <v>781.39687500000002</v>
      </c>
      <c r="T177" s="47">
        <f>Q177*(1+Input!$B$36)</f>
        <v>781.39687500000002</v>
      </c>
      <c r="U177" s="47">
        <f>R177*(1+Input!$B$36)</f>
        <v>781.39687500000002</v>
      </c>
      <c r="V177" s="47">
        <f>S177*(1+Input!$B$36)</f>
        <v>820.46671875000004</v>
      </c>
      <c r="W177" s="47">
        <f>T177*(1+Input!$B$36)</f>
        <v>820.46671875000004</v>
      </c>
      <c r="X177" s="47">
        <f>U177*(1+Input!$B$36)</f>
        <v>820.46671875000004</v>
      </c>
      <c r="Y177" s="47">
        <f>V177*(1+Input!$B$36)</f>
        <v>861.49005468750011</v>
      </c>
      <c r="Z177" s="47">
        <f>W177*(1+Input!$B$36)</f>
        <v>861.49005468750011</v>
      </c>
      <c r="AA177" s="47">
        <f>X177*(1+Input!$B$36)</f>
        <v>861.49005468750011</v>
      </c>
      <c r="AB177" s="47">
        <f>Y177*(1+Input!$B$36)</f>
        <v>904.56455742187518</v>
      </c>
      <c r="AC177" s="47">
        <f>Z177*(1+Input!$B$36)</f>
        <v>904.56455742187518</v>
      </c>
      <c r="AD177" s="47">
        <f>AA177*(1+Input!$B$36)</f>
        <v>904.56455742187518</v>
      </c>
      <c r="AE177" s="47">
        <f>AB177*(1+Input!$B$36)</f>
        <v>949.79278529296903</v>
      </c>
      <c r="AF177" s="47">
        <f>AC177*(1+Input!$B$36)</f>
        <v>949.79278529296903</v>
      </c>
      <c r="AG177" s="47">
        <f>AD177*(1+Input!$B$36)</f>
        <v>949.79278529296903</v>
      </c>
      <c r="AH177" s="47">
        <f>AE177*(1+Input!$B$36)</f>
        <v>997.28242455761756</v>
      </c>
      <c r="AI177" s="47">
        <f>AF177*(1+Input!$B$36)</f>
        <v>997.28242455761756</v>
      </c>
      <c r="AJ177" s="47">
        <f>AG177*(1+Input!$B$36)</f>
        <v>997.28242455761756</v>
      </c>
      <c r="AK177" s="47" t="s">
        <v>98</v>
      </c>
    </row>
    <row r="178" spans="3:37" x14ac:dyDescent="0.25">
      <c r="E178" s="64" t="str">
        <f>Input!A268</f>
        <v>Year 12</v>
      </c>
      <c r="F178" s="57">
        <f>Input!B268</f>
        <v>125</v>
      </c>
      <c r="J178" s="47">
        <f>$F178*Input!$B$33*Input!$B$28*Input!$B$11</f>
        <v>675</v>
      </c>
      <c r="K178" s="47">
        <f>$F178*Input!$B$33*Input!$B$28*Input!$B$11</f>
        <v>675</v>
      </c>
      <c r="L178" s="47">
        <f>$F178*Input!$B$33*Input!$B$28*Input!$B$11</f>
        <v>675</v>
      </c>
      <c r="M178" s="47">
        <f>J178*(1+Input!$B$36)</f>
        <v>708.75</v>
      </c>
      <c r="N178" s="47">
        <f>K178*(1+Input!$B$36)</f>
        <v>708.75</v>
      </c>
      <c r="O178" s="47">
        <f>L178*(1+Input!$B$36)</f>
        <v>708.75</v>
      </c>
      <c r="P178" s="47">
        <f>M178*(1+Input!$B$36)</f>
        <v>744.1875</v>
      </c>
      <c r="Q178" s="47">
        <f>N178*(1+Input!$B$36)</f>
        <v>744.1875</v>
      </c>
      <c r="R178" s="47">
        <f>O178*(1+Input!$B$36)</f>
        <v>744.1875</v>
      </c>
      <c r="S178" s="47">
        <f>P178*(1+Input!$B$36)</f>
        <v>781.39687500000002</v>
      </c>
      <c r="T178" s="47">
        <f>Q178*(1+Input!$B$36)</f>
        <v>781.39687500000002</v>
      </c>
      <c r="U178" s="47">
        <f>R178*(1+Input!$B$36)</f>
        <v>781.39687500000002</v>
      </c>
      <c r="V178" s="47">
        <f>S178*(1+Input!$B$36)</f>
        <v>820.46671875000004</v>
      </c>
      <c r="W178" s="47">
        <f>T178*(1+Input!$B$36)</f>
        <v>820.46671875000004</v>
      </c>
      <c r="X178" s="47">
        <f>U178*(1+Input!$B$36)</f>
        <v>820.46671875000004</v>
      </c>
      <c r="Y178" s="47">
        <f>V178*(1+Input!$B$36)</f>
        <v>861.49005468750011</v>
      </c>
      <c r="Z178" s="47">
        <f>W178*(1+Input!$B$36)</f>
        <v>861.49005468750011</v>
      </c>
      <c r="AA178" s="47">
        <f>X178*(1+Input!$B$36)</f>
        <v>861.49005468750011</v>
      </c>
      <c r="AB178" s="47">
        <f>Y178*(1+Input!$B$36)</f>
        <v>904.56455742187518</v>
      </c>
      <c r="AC178" s="47">
        <f>Z178*(1+Input!$B$36)</f>
        <v>904.56455742187518</v>
      </c>
      <c r="AD178" s="47">
        <f>AA178*(1+Input!$B$36)</f>
        <v>904.56455742187518</v>
      </c>
      <c r="AE178" s="47">
        <f>AB178*(1+Input!$B$36)</f>
        <v>949.79278529296903</v>
      </c>
      <c r="AF178" s="47">
        <f>AC178*(1+Input!$B$36)</f>
        <v>949.79278529296903</v>
      </c>
      <c r="AG178" s="47">
        <f>AD178*(1+Input!$B$36)</f>
        <v>949.79278529296903</v>
      </c>
      <c r="AH178" s="47">
        <f>AE178*(1+Input!$B$36)</f>
        <v>997.28242455761756</v>
      </c>
      <c r="AI178" s="47">
        <f>AF178*(1+Input!$B$36)</f>
        <v>997.28242455761756</v>
      </c>
      <c r="AJ178" s="47">
        <f>AG178*(1+Input!$B$36)</f>
        <v>997.28242455761756</v>
      </c>
      <c r="AK178" s="47" t="s">
        <v>98</v>
      </c>
    </row>
    <row r="179" spans="3:37" x14ac:dyDescent="0.25">
      <c r="E179" s="64" t="str">
        <f>Input!A269</f>
        <v>Year 13</v>
      </c>
      <c r="F179" s="57">
        <f>Input!B269</f>
        <v>125</v>
      </c>
      <c r="J179" s="47">
        <f>$F179*Input!$B$33*Input!$B$28*Input!$B$11</f>
        <v>675</v>
      </c>
      <c r="K179" s="47">
        <f>$F179*Input!$B$33*Input!$B$28*Input!$B$11</f>
        <v>675</v>
      </c>
      <c r="L179" s="47">
        <f>$F179*Input!$B$33*Input!$B$28*Input!$B$11</f>
        <v>675</v>
      </c>
      <c r="M179" s="47">
        <f>J179*(1+Input!$B$36)</f>
        <v>708.75</v>
      </c>
      <c r="N179" s="47">
        <f>K179*(1+Input!$B$36)</f>
        <v>708.75</v>
      </c>
      <c r="O179" s="47">
        <f>L179*(1+Input!$B$36)</f>
        <v>708.75</v>
      </c>
      <c r="P179" s="47">
        <f>M179*(1+Input!$B$36)</f>
        <v>744.1875</v>
      </c>
      <c r="Q179" s="47">
        <f>N179*(1+Input!$B$36)</f>
        <v>744.1875</v>
      </c>
      <c r="R179" s="47">
        <f>O179*(1+Input!$B$36)</f>
        <v>744.1875</v>
      </c>
      <c r="S179" s="47">
        <f>P179*(1+Input!$B$36)</f>
        <v>781.39687500000002</v>
      </c>
      <c r="T179" s="47">
        <f>Q179*(1+Input!$B$36)</f>
        <v>781.39687500000002</v>
      </c>
      <c r="U179" s="47">
        <f>R179*(1+Input!$B$36)</f>
        <v>781.39687500000002</v>
      </c>
      <c r="V179" s="47">
        <f>S179*(1+Input!$B$36)</f>
        <v>820.46671875000004</v>
      </c>
      <c r="W179" s="47">
        <f>T179*(1+Input!$B$36)</f>
        <v>820.46671875000004</v>
      </c>
      <c r="X179" s="47">
        <f>U179*(1+Input!$B$36)</f>
        <v>820.46671875000004</v>
      </c>
      <c r="Y179" s="47">
        <f>V179*(1+Input!$B$36)</f>
        <v>861.49005468750011</v>
      </c>
      <c r="Z179" s="47">
        <f>W179*(1+Input!$B$36)</f>
        <v>861.49005468750011</v>
      </c>
      <c r="AA179" s="47">
        <f>X179*(1+Input!$B$36)</f>
        <v>861.49005468750011</v>
      </c>
      <c r="AB179" s="47">
        <f>Y179*(1+Input!$B$36)</f>
        <v>904.56455742187518</v>
      </c>
      <c r="AC179" s="47">
        <f>Z179*(1+Input!$B$36)</f>
        <v>904.56455742187518</v>
      </c>
      <c r="AD179" s="47">
        <f>AA179*(1+Input!$B$36)</f>
        <v>904.56455742187518</v>
      </c>
      <c r="AE179" s="47">
        <f>AB179*(1+Input!$B$36)</f>
        <v>949.79278529296903</v>
      </c>
      <c r="AF179" s="47">
        <f>AC179*(1+Input!$B$36)</f>
        <v>949.79278529296903</v>
      </c>
      <c r="AG179" s="47">
        <f>AD179*(1+Input!$B$36)</f>
        <v>949.79278529296903</v>
      </c>
      <c r="AH179" s="47">
        <f>AE179*(1+Input!$B$36)</f>
        <v>997.28242455761756</v>
      </c>
      <c r="AI179" s="47">
        <f>AF179*(1+Input!$B$36)</f>
        <v>997.28242455761756</v>
      </c>
      <c r="AJ179" s="47">
        <f>AG179*(1+Input!$B$36)</f>
        <v>997.28242455761756</v>
      </c>
      <c r="AK179" s="47" t="s">
        <v>98</v>
      </c>
    </row>
    <row r="180" spans="3:37" x14ac:dyDescent="0.25">
      <c r="E180" s="64" t="str">
        <f>Input!A270</f>
        <v>Year 14</v>
      </c>
      <c r="F180" s="57">
        <f>Input!B270</f>
        <v>125</v>
      </c>
      <c r="J180" s="47">
        <f>$F180*Input!$B$33*Input!$B$28*Input!$B$11</f>
        <v>675</v>
      </c>
      <c r="K180" s="47">
        <f>$F180*Input!$B$33*Input!$B$28*Input!$B$11</f>
        <v>675</v>
      </c>
      <c r="L180" s="47">
        <f>$F180*Input!$B$33*Input!$B$28*Input!$B$11</f>
        <v>675</v>
      </c>
      <c r="M180" s="47">
        <f>J180*(1+Input!$B$36)</f>
        <v>708.75</v>
      </c>
      <c r="N180" s="47">
        <f>K180*(1+Input!$B$36)</f>
        <v>708.75</v>
      </c>
      <c r="O180" s="47">
        <f>L180*(1+Input!$B$36)</f>
        <v>708.75</v>
      </c>
      <c r="P180" s="47">
        <f>M180*(1+Input!$B$36)</f>
        <v>744.1875</v>
      </c>
      <c r="Q180" s="47">
        <f>N180*(1+Input!$B$36)</f>
        <v>744.1875</v>
      </c>
      <c r="R180" s="47">
        <f>O180*(1+Input!$B$36)</f>
        <v>744.1875</v>
      </c>
      <c r="S180" s="47">
        <f>P180*(1+Input!$B$36)</f>
        <v>781.39687500000002</v>
      </c>
      <c r="T180" s="47">
        <f>Q180*(1+Input!$B$36)</f>
        <v>781.39687500000002</v>
      </c>
      <c r="U180" s="47">
        <f>R180*(1+Input!$B$36)</f>
        <v>781.39687500000002</v>
      </c>
      <c r="V180" s="47">
        <f>S180*(1+Input!$B$36)</f>
        <v>820.46671875000004</v>
      </c>
      <c r="W180" s="47">
        <f>T180*(1+Input!$B$36)</f>
        <v>820.46671875000004</v>
      </c>
      <c r="X180" s="47">
        <f>U180*(1+Input!$B$36)</f>
        <v>820.46671875000004</v>
      </c>
      <c r="Y180" s="47">
        <f>V180*(1+Input!$B$36)</f>
        <v>861.49005468750011</v>
      </c>
      <c r="Z180" s="47">
        <f>W180*(1+Input!$B$36)</f>
        <v>861.49005468750011</v>
      </c>
      <c r="AA180" s="47">
        <f>X180*(1+Input!$B$36)</f>
        <v>861.49005468750011</v>
      </c>
      <c r="AB180" s="47">
        <f>Y180*(1+Input!$B$36)</f>
        <v>904.56455742187518</v>
      </c>
      <c r="AC180" s="47">
        <f>Z180*(1+Input!$B$36)</f>
        <v>904.56455742187518</v>
      </c>
      <c r="AD180" s="47">
        <f>AA180*(1+Input!$B$36)</f>
        <v>904.56455742187518</v>
      </c>
      <c r="AE180" s="47">
        <f>AB180*(1+Input!$B$36)</f>
        <v>949.79278529296903</v>
      </c>
      <c r="AF180" s="47">
        <f>AC180*(1+Input!$B$36)</f>
        <v>949.79278529296903</v>
      </c>
      <c r="AG180" s="47">
        <f>AD180*(1+Input!$B$36)</f>
        <v>949.79278529296903</v>
      </c>
      <c r="AH180" s="47">
        <f>AE180*(1+Input!$B$36)</f>
        <v>997.28242455761756</v>
      </c>
      <c r="AI180" s="47">
        <f>AF180*(1+Input!$B$36)</f>
        <v>997.28242455761756</v>
      </c>
      <c r="AJ180" s="47">
        <f>AG180*(1+Input!$B$36)</f>
        <v>997.28242455761756</v>
      </c>
      <c r="AK180" s="47" t="s">
        <v>98</v>
      </c>
    </row>
    <row r="181" spans="3:37" x14ac:dyDescent="0.25">
      <c r="E181" s="64" t="s">
        <v>109</v>
      </c>
      <c r="F181" s="57"/>
      <c r="J181" s="47">
        <f>SUM(J162:J180)</f>
        <v>12825</v>
      </c>
      <c r="K181" s="47">
        <f t="shared" ref="K181:AJ181" si="7">SUM(K162:K180)</f>
        <v>12825</v>
      </c>
      <c r="L181" s="47">
        <f t="shared" si="7"/>
        <v>12825</v>
      </c>
      <c r="M181" s="47">
        <f t="shared" si="7"/>
        <v>13466.25</v>
      </c>
      <c r="N181" s="47">
        <f t="shared" si="7"/>
        <v>13466.25</v>
      </c>
      <c r="O181" s="47">
        <f t="shared" si="7"/>
        <v>13466.25</v>
      </c>
      <c r="P181" s="47">
        <f t="shared" si="7"/>
        <v>14139.5625</v>
      </c>
      <c r="Q181" s="47">
        <f t="shared" si="7"/>
        <v>14139.5625</v>
      </c>
      <c r="R181" s="47">
        <f t="shared" si="7"/>
        <v>14139.5625</v>
      </c>
      <c r="S181" s="47">
        <f t="shared" si="7"/>
        <v>14846.540625000005</v>
      </c>
      <c r="T181" s="47">
        <f t="shared" si="7"/>
        <v>14846.540625000005</v>
      </c>
      <c r="U181" s="47">
        <f t="shared" si="7"/>
        <v>14846.540625000005</v>
      </c>
      <c r="V181" s="47">
        <f t="shared" si="7"/>
        <v>15588.86765625</v>
      </c>
      <c r="W181" s="47">
        <f t="shared" si="7"/>
        <v>15588.86765625</v>
      </c>
      <c r="X181" s="47">
        <f t="shared" si="7"/>
        <v>15588.86765625</v>
      </c>
      <c r="Y181" s="47">
        <f t="shared" si="7"/>
        <v>16368.311039062495</v>
      </c>
      <c r="Z181" s="47">
        <f t="shared" si="7"/>
        <v>16368.311039062495</v>
      </c>
      <c r="AA181" s="47">
        <f t="shared" si="7"/>
        <v>16368.311039062495</v>
      </c>
      <c r="AB181" s="47">
        <f t="shared" si="7"/>
        <v>17186.726591015635</v>
      </c>
      <c r="AC181" s="47">
        <f t="shared" si="7"/>
        <v>17186.726591015635</v>
      </c>
      <c r="AD181" s="47">
        <f t="shared" si="7"/>
        <v>17186.726591015635</v>
      </c>
      <c r="AE181" s="47">
        <f t="shared" si="7"/>
        <v>18046.062920566415</v>
      </c>
      <c r="AF181" s="47">
        <f t="shared" si="7"/>
        <v>18046.062920566415</v>
      </c>
      <c r="AG181" s="47">
        <f t="shared" si="7"/>
        <v>18046.062920566415</v>
      </c>
      <c r="AH181" s="47">
        <f t="shared" si="7"/>
        <v>18948.366066594739</v>
      </c>
      <c r="AI181" s="47">
        <f t="shared" si="7"/>
        <v>18948.366066594739</v>
      </c>
      <c r="AJ181" s="47">
        <f t="shared" si="7"/>
        <v>18948.366066594739</v>
      </c>
      <c r="AK181" s="47" t="s">
        <v>98</v>
      </c>
    </row>
    <row r="182" spans="3:37" x14ac:dyDescent="0.25">
      <c r="E182" s="64"/>
      <c r="F182" s="57"/>
    </row>
    <row r="183" spans="3:37" x14ac:dyDescent="0.25">
      <c r="C183" s="64" t="str">
        <f>Input!A273</f>
        <v>Uniform</v>
      </c>
      <c r="E183" s="64"/>
      <c r="F183" s="57"/>
      <c r="AK183" s="47" t="s">
        <v>98</v>
      </c>
    </row>
    <row r="184" spans="3:37" x14ac:dyDescent="0.25">
      <c r="E184" s="64" t="str">
        <f>Input!A274</f>
        <v>Creche</v>
      </c>
      <c r="F184" s="57">
        <f>Input!B274</f>
        <v>770</v>
      </c>
      <c r="J184" s="47">
        <f>$F184*Input!$B$33*Input!$B$28*Input!$B$11</f>
        <v>4158</v>
      </c>
      <c r="K184" s="47">
        <f>$F184*Input!$B$33*Input!$B$28*Input!$B$11</f>
        <v>4158</v>
      </c>
      <c r="L184" s="47">
        <f>$F184*Input!$B$33*Input!$B$28*Input!$B$11</f>
        <v>4158</v>
      </c>
      <c r="M184" s="47">
        <f>J184*(1+Input!$B$36)</f>
        <v>4365.9000000000005</v>
      </c>
      <c r="N184" s="47">
        <f>K184*(1+Input!$B$36)</f>
        <v>4365.9000000000005</v>
      </c>
      <c r="O184" s="47">
        <f>L184*(1+Input!$B$36)</f>
        <v>4365.9000000000005</v>
      </c>
      <c r="P184" s="47">
        <f>M184*(1+Input!$B$36)</f>
        <v>4584.1950000000006</v>
      </c>
      <c r="Q184" s="47">
        <f>N184*(1+Input!$B$36)</f>
        <v>4584.1950000000006</v>
      </c>
      <c r="R184" s="47">
        <f>O184*(1+Input!$B$36)</f>
        <v>4584.1950000000006</v>
      </c>
      <c r="S184" s="47">
        <f>P184*(1+Input!$B$36)</f>
        <v>4813.4047500000006</v>
      </c>
      <c r="T184" s="47">
        <f>Q184*(1+Input!$B$36)</f>
        <v>4813.4047500000006</v>
      </c>
      <c r="U184" s="47">
        <f>R184*(1+Input!$B$36)</f>
        <v>4813.4047500000006</v>
      </c>
      <c r="V184" s="47">
        <f>S184*(1+Input!$B$36)</f>
        <v>5054.074987500001</v>
      </c>
      <c r="W184" s="47">
        <f>T184*(1+Input!$B$36)</f>
        <v>5054.074987500001</v>
      </c>
      <c r="X184" s="47">
        <f>U184*(1+Input!$B$36)</f>
        <v>5054.074987500001</v>
      </c>
      <c r="Y184" s="47">
        <f>V184*(1+Input!$B$36)</f>
        <v>5306.7787368750014</v>
      </c>
      <c r="Z184" s="47">
        <f>W184*(1+Input!$B$36)</f>
        <v>5306.7787368750014</v>
      </c>
      <c r="AA184" s="47">
        <f>X184*(1+Input!$B$36)</f>
        <v>5306.7787368750014</v>
      </c>
      <c r="AB184" s="47">
        <f>Y184*(1+Input!$B$36)</f>
        <v>5572.1176737187516</v>
      </c>
      <c r="AC184" s="47">
        <f>Z184*(1+Input!$B$36)</f>
        <v>5572.1176737187516</v>
      </c>
      <c r="AD184" s="47">
        <f>AA184*(1+Input!$B$36)</f>
        <v>5572.1176737187516</v>
      </c>
      <c r="AE184" s="47">
        <f>AB184*(1+Input!$B$36)</f>
        <v>5850.723557404689</v>
      </c>
      <c r="AF184" s="47">
        <f>AC184*(1+Input!$B$36)</f>
        <v>5850.723557404689</v>
      </c>
      <c r="AG184" s="47">
        <f>AD184*(1+Input!$B$36)</f>
        <v>5850.723557404689</v>
      </c>
      <c r="AH184" s="47">
        <f>AE184*(1+Input!$B$36)</f>
        <v>6143.2597352749235</v>
      </c>
      <c r="AI184" s="47">
        <f>AF184*(1+Input!$B$36)</f>
        <v>6143.2597352749235</v>
      </c>
      <c r="AJ184" s="47">
        <f>AG184*(1+Input!$B$36)</f>
        <v>6143.2597352749235</v>
      </c>
      <c r="AK184" s="47" t="s">
        <v>98</v>
      </c>
    </row>
    <row r="185" spans="3:37" x14ac:dyDescent="0.25">
      <c r="E185" s="64" t="str">
        <f>Input!A275</f>
        <v>Playgroup</v>
      </c>
      <c r="F185" s="57">
        <f>Input!B275</f>
        <v>770</v>
      </c>
      <c r="J185" s="47">
        <f>$F185*Input!$B$33*Input!$B$28*Input!$B$11</f>
        <v>4158</v>
      </c>
      <c r="K185" s="47">
        <f>$F185*Input!$B$33*Input!$B$28*Input!$B$11</f>
        <v>4158</v>
      </c>
      <c r="L185" s="47">
        <f>$F185*Input!$B$33*Input!$B$28*Input!$B$11</f>
        <v>4158</v>
      </c>
      <c r="M185" s="47">
        <f>J185*(1+Input!$B$36)</f>
        <v>4365.9000000000005</v>
      </c>
      <c r="N185" s="47">
        <f>K185*(1+Input!$B$36)</f>
        <v>4365.9000000000005</v>
      </c>
      <c r="O185" s="47">
        <f>L185*(1+Input!$B$36)</f>
        <v>4365.9000000000005</v>
      </c>
      <c r="P185" s="47">
        <f>M185*(1+Input!$B$36)</f>
        <v>4584.1950000000006</v>
      </c>
      <c r="Q185" s="47">
        <f>N185*(1+Input!$B$36)</f>
        <v>4584.1950000000006</v>
      </c>
      <c r="R185" s="47">
        <f>O185*(1+Input!$B$36)</f>
        <v>4584.1950000000006</v>
      </c>
      <c r="S185" s="47">
        <f>P185*(1+Input!$B$36)</f>
        <v>4813.4047500000006</v>
      </c>
      <c r="T185" s="47">
        <f>Q185*(1+Input!$B$36)</f>
        <v>4813.4047500000006</v>
      </c>
      <c r="U185" s="47">
        <f>R185*(1+Input!$B$36)</f>
        <v>4813.4047500000006</v>
      </c>
      <c r="V185" s="47">
        <f>S185*(1+Input!$B$36)</f>
        <v>5054.074987500001</v>
      </c>
      <c r="W185" s="47">
        <f>T185*(1+Input!$B$36)</f>
        <v>5054.074987500001</v>
      </c>
      <c r="X185" s="47">
        <f>U185*(1+Input!$B$36)</f>
        <v>5054.074987500001</v>
      </c>
      <c r="Y185" s="47">
        <f>V185*(1+Input!$B$36)</f>
        <v>5306.7787368750014</v>
      </c>
      <c r="Z185" s="47">
        <f>W185*(1+Input!$B$36)</f>
        <v>5306.7787368750014</v>
      </c>
      <c r="AA185" s="47">
        <f>X185*(1+Input!$B$36)</f>
        <v>5306.7787368750014</v>
      </c>
      <c r="AB185" s="47">
        <f>Y185*(1+Input!$B$36)</f>
        <v>5572.1176737187516</v>
      </c>
      <c r="AC185" s="47">
        <f>Z185*(1+Input!$B$36)</f>
        <v>5572.1176737187516</v>
      </c>
      <c r="AD185" s="47">
        <f>AA185*(1+Input!$B$36)</f>
        <v>5572.1176737187516</v>
      </c>
      <c r="AE185" s="47">
        <f>AB185*(1+Input!$B$36)</f>
        <v>5850.723557404689</v>
      </c>
      <c r="AF185" s="47">
        <f>AC185*(1+Input!$B$36)</f>
        <v>5850.723557404689</v>
      </c>
      <c r="AG185" s="47">
        <f>AD185*(1+Input!$B$36)</f>
        <v>5850.723557404689</v>
      </c>
      <c r="AH185" s="47">
        <f>AE185*(1+Input!$B$36)</f>
        <v>6143.2597352749235</v>
      </c>
      <c r="AI185" s="47">
        <f>AF185*(1+Input!$B$36)</f>
        <v>6143.2597352749235</v>
      </c>
      <c r="AJ185" s="47">
        <f>AG185*(1+Input!$B$36)</f>
        <v>6143.2597352749235</v>
      </c>
      <c r="AK185" s="47" t="s">
        <v>98</v>
      </c>
    </row>
    <row r="186" spans="3:37" x14ac:dyDescent="0.25">
      <c r="E186" s="64" t="str">
        <f>Input!A276</f>
        <v xml:space="preserve">Nursery </v>
      </c>
      <c r="F186" s="57">
        <f>Input!B276</f>
        <v>770</v>
      </c>
      <c r="J186" s="47">
        <f>$F186*Input!$B$33*Input!$B$28*Input!$B$11</f>
        <v>4158</v>
      </c>
      <c r="K186" s="47">
        <f>$F186*Input!$B$33*Input!$B$28*Input!$B$11</f>
        <v>4158</v>
      </c>
      <c r="L186" s="47">
        <f>$F186*Input!$B$33*Input!$B$28*Input!$B$11</f>
        <v>4158</v>
      </c>
      <c r="M186" s="47">
        <f>J186*(1+Input!$B$36)</f>
        <v>4365.9000000000005</v>
      </c>
      <c r="N186" s="47">
        <f>K186*(1+Input!$B$36)</f>
        <v>4365.9000000000005</v>
      </c>
      <c r="O186" s="47">
        <f>L186*(1+Input!$B$36)</f>
        <v>4365.9000000000005</v>
      </c>
      <c r="P186" s="47">
        <f>M186*(1+Input!$B$36)</f>
        <v>4584.1950000000006</v>
      </c>
      <c r="Q186" s="47">
        <f>N186*(1+Input!$B$36)</f>
        <v>4584.1950000000006</v>
      </c>
      <c r="R186" s="47">
        <f>O186*(1+Input!$B$36)</f>
        <v>4584.1950000000006</v>
      </c>
      <c r="S186" s="47">
        <f>P186*(1+Input!$B$36)</f>
        <v>4813.4047500000006</v>
      </c>
      <c r="T186" s="47">
        <f>Q186*(1+Input!$B$36)</f>
        <v>4813.4047500000006</v>
      </c>
      <c r="U186" s="47">
        <f>R186*(1+Input!$B$36)</f>
        <v>4813.4047500000006</v>
      </c>
      <c r="V186" s="47">
        <f>S186*(1+Input!$B$36)</f>
        <v>5054.074987500001</v>
      </c>
      <c r="W186" s="47">
        <f>T186*(1+Input!$B$36)</f>
        <v>5054.074987500001</v>
      </c>
      <c r="X186" s="47">
        <f>U186*(1+Input!$B$36)</f>
        <v>5054.074987500001</v>
      </c>
      <c r="Y186" s="47">
        <f>V186*(1+Input!$B$36)</f>
        <v>5306.7787368750014</v>
      </c>
      <c r="Z186" s="47">
        <f>W186*(1+Input!$B$36)</f>
        <v>5306.7787368750014</v>
      </c>
      <c r="AA186" s="47">
        <f>X186*(1+Input!$B$36)</f>
        <v>5306.7787368750014</v>
      </c>
      <c r="AB186" s="47">
        <f>Y186*(1+Input!$B$36)</f>
        <v>5572.1176737187516</v>
      </c>
      <c r="AC186" s="47">
        <f>Z186*(1+Input!$B$36)</f>
        <v>5572.1176737187516</v>
      </c>
      <c r="AD186" s="47">
        <f>AA186*(1+Input!$B$36)</f>
        <v>5572.1176737187516</v>
      </c>
      <c r="AE186" s="47">
        <f>AB186*(1+Input!$B$36)</f>
        <v>5850.723557404689</v>
      </c>
      <c r="AF186" s="47">
        <f>AC186*(1+Input!$B$36)</f>
        <v>5850.723557404689</v>
      </c>
      <c r="AG186" s="47">
        <f>AD186*(1+Input!$B$36)</f>
        <v>5850.723557404689</v>
      </c>
      <c r="AH186" s="47">
        <f>AE186*(1+Input!$B$36)</f>
        <v>6143.2597352749235</v>
      </c>
      <c r="AI186" s="47">
        <f>AF186*(1+Input!$B$36)</f>
        <v>6143.2597352749235</v>
      </c>
      <c r="AJ186" s="47">
        <f>AG186*(1+Input!$B$36)</f>
        <v>6143.2597352749235</v>
      </c>
      <c r="AK186" s="47" t="s">
        <v>98</v>
      </c>
    </row>
    <row r="187" spans="3:37" x14ac:dyDescent="0.25">
      <c r="E187" s="64" t="str">
        <f>Input!A277</f>
        <v xml:space="preserve">Reception 1 </v>
      </c>
      <c r="F187" s="57">
        <f>Input!B277</f>
        <v>770</v>
      </c>
      <c r="J187" s="47">
        <f>$F187*Input!$B$33*Input!$B$28*Input!$B$11</f>
        <v>4158</v>
      </c>
      <c r="K187" s="47">
        <f>$F187*Input!$B$33*Input!$B$28*Input!$B$11</f>
        <v>4158</v>
      </c>
      <c r="L187" s="47">
        <f>$F187*Input!$B$33*Input!$B$28*Input!$B$11</f>
        <v>4158</v>
      </c>
      <c r="M187" s="47">
        <f>J187*(1+Input!$B$36)</f>
        <v>4365.9000000000005</v>
      </c>
      <c r="N187" s="47">
        <f>K187*(1+Input!$B$36)</f>
        <v>4365.9000000000005</v>
      </c>
      <c r="O187" s="47">
        <f>L187*(1+Input!$B$36)</f>
        <v>4365.9000000000005</v>
      </c>
      <c r="P187" s="47">
        <f>M187*(1+Input!$B$36)</f>
        <v>4584.1950000000006</v>
      </c>
      <c r="Q187" s="47">
        <f>N187*(1+Input!$B$36)</f>
        <v>4584.1950000000006</v>
      </c>
      <c r="R187" s="47">
        <f>O187*(1+Input!$B$36)</f>
        <v>4584.1950000000006</v>
      </c>
      <c r="S187" s="47">
        <f>P187*(1+Input!$B$36)</f>
        <v>4813.4047500000006</v>
      </c>
      <c r="T187" s="47">
        <f>Q187*(1+Input!$B$36)</f>
        <v>4813.4047500000006</v>
      </c>
      <c r="U187" s="47">
        <f>R187*(1+Input!$B$36)</f>
        <v>4813.4047500000006</v>
      </c>
      <c r="V187" s="47">
        <f>S187*(1+Input!$B$36)</f>
        <v>5054.074987500001</v>
      </c>
      <c r="W187" s="47">
        <f>T187*(1+Input!$B$36)</f>
        <v>5054.074987500001</v>
      </c>
      <c r="X187" s="47">
        <f>U187*(1+Input!$B$36)</f>
        <v>5054.074987500001</v>
      </c>
      <c r="Y187" s="47">
        <f>V187*(1+Input!$B$36)</f>
        <v>5306.7787368750014</v>
      </c>
      <c r="Z187" s="47">
        <f>W187*(1+Input!$B$36)</f>
        <v>5306.7787368750014</v>
      </c>
      <c r="AA187" s="47">
        <f>X187*(1+Input!$B$36)</f>
        <v>5306.7787368750014</v>
      </c>
      <c r="AB187" s="47">
        <f>Y187*(1+Input!$B$36)</f>
        <v>5572.1176737187516</v>
      </c>
      <c r="AC187" s="47">
        <f>Z187*(1+Input!$B$36)</f>
        <v>5572.1176737187516</v>
      </c>
      <c r="AD187" s="47">
        <f>AA187*(1+Input!$B$36)</f>
        <v>5572.1176737187516</v>
      </c>
      <c r="AE187" s="47">
        <f>AB187*(1+Input!$B$36)</f>
        <v>5850.723557404689</v>
      </c>
      <c r="AF187" s="47">
        <f>AC187*(1+Input!$B$36)</f>
        <v>5850.723557404689</v>
      </c>
      <c r="AG187" s="47">
        <f>AD187*(1+Input!$B$36)</f>
        <v>5850.723557404689</v>
      </c>
      <c r="AH187" s="47">
        <f>AE187*(1+Input!$B$36)</f>
        <v>6143.2597352749235</v>
      </c>
      <c r="AI187" s="47">
        <f>AF187*(1+Input!$B$36)</f>
        <v>6143.2597352749235</v>
      </c>
      <c r="AJ187" s="47">
        <f>AG187*(1+Input!$B$36)</f>
        <v>6143.2597352749235</v>
      </c>
      <c r="AK187" s="47" t="s">
        <v>98</v>
      </c>
    </row>
    <row r="188" spans="3:37" x14ac:dyDescent="0.25">
      <c r="E188" s="64" t="str">
        <f>Input!A278</f>
        <v xml:space="preserve">Reception 2 </v>
      </c>
      <c r="F188" s="57">
        <f>Input!B278</f>
        <v>770</v>
      </c>
      <c r="J188" s="47">
        <f>$F188*Input!$B$33*Input!$B$28*Input!$B$11</f>
        <v>4158</v>
      </c>
      <c r="K188" s="47">
        <f>$F188*Input!$B$33*Input!$B$28*Input!$B$11</f>
        <v>4158</v>
      </c>
      <c r="L188" s="47">
        <f>$F188*Input!$B$33*Input!$B$28*Input!$B$11</f>
        <v>4158</v>
      </c>
      <c r="M188" s="47">
        <f>J188*(1+Input!$B$36)</f>
        <v>4365.9000000000005</v>
      </c>
      <c r="N188" s="47">
        <f>K188*(1+Input!$B$36)</f>
        <v>4365.9000000000005</v>
      </c>
      <c r="O188" s="47">
        <f>L188*(1+Input!$B$36)</f>
        <v>4365.9000000000005</v>
      </c>
      <c r="P188" s="47">
        <f>M188*(1+Input!$B$36)</f>
        <v>4584.1950000000006</v>
      </c>
      <c r="Q188" s="47">
        <f>N188*(1+Input!$B$36)</f>
        <v>4584.1950000000006</v>
      </c>
      <c r="R188" s="47">
        <f>O188*(1+Input!$B$36)</f>
        <v>4584.1950000000006</v>
      </c>
      <c r="S188" s="47">
        <f>P188*(1+Input!$B$36)</f>
        <v>4813.4047500000006</v>
      </c>
      <c r="T188" s="47">
        <f>Q188*(1+Input!$B$36)</f>
        <v>4813.4047500000006</v>
      </c>
      <c r="U188" s="47">
        <f>R188*(1+Input!$B$36)</f>
        <v>4813.4047500000006</v>
      </c>
      <c r="V188" s="47">
        <f>S188*(1+Input!$B$36)</f>
        <v>5054.074987500001</v>
      </c>
      <c r="W188" s="47">
        <f>T188*(1+Input!$B$36)</f>
        <v>5054.074987500001</v>
      </c>
      <c r="X188" s="47">
        <f>U188*(1+Input!$B$36)</f>
        <v>5054.074987500001</v>
      </c>
      <c r="Y188" s="47">
        <f>V188*(1+Input!$B$36)</f>
        <v>5306.7787368750014</v>
      </c>
      <c r="Z188" s="47">
        <f>W188*(1+Input!$B$36)</f>
        <v>5306.7787368750014</v>
      </c>
      <c r="AA188" s="47">
        <f>X188*(1+Input!$B$36)</f>
        <v>5306.7787368750014</v>
      </c>
      <c r="AB188" s="47">
        <f>Y188*(1+Input!$B$36)</f>
        <v>5572.1176737187516</v>
      </c>
      <c r="AC188" s="47">
        <f>Z188*(1+Input!$B$36)</f>
        <v>5572.1176737187516</v>
      </c>
      <c r="AD188" s="47">
        <f>AA188*(1+Input!$B$36)</f>
        <v>5572.1176737187516</v>
      </c>
      <c r="AE188" s="47">
        <f>AB188*(1+Input!$B$36)</f>
        <v>5850.723557404689</v>
      </c>
      <c r="AF188" s="47">
        <f>AC188*(1+Input!$B$36)</f>
        <v>5850.723557404689</v>
      </c>
      <c r="AG188" s="47">
        <f>AD188*(1+Input!$B$36)</f>
        <v>5850.723557404689</v>
      </c>
      <c r="AH188" s="47">
        <f>AE188*(1+Input!$B$36)</f>
        <v>6143.2597352749235</v>
      </c>
      <c r="AI188" s="47">
        <f>AF188*(1+Input!$B$36)</f>
        <v>6143.2597352749235</v>
      </c>
      <c r="AJ188" s="47">
        <f>AG188*(1+Input!$B$36)</f>
        <v>6143.2597352749235</v>
      </c>
      <c r="AK188" s="47" t="s">
        <v>98</v>
      </c>
    </row>
    <row r="189" spans="3:37" x14ac:dyDescent="0.25">
      <c r="E189" s="64" t="str">
        <f>Input!A279</f>
        <v>Year 1</v>
      </c>
      <c r="F189" s="57">
        <f>Input!B279</f>
        <v>1235</v>
      </c>
      <c r="J189" s="47">
        <f>$F189*Input!$B$33*Input!$B$28*Input!$B$11</f>
        <v>6669</v>
      </c>
      <c r="K189" s="47">
        <f>$F189*Input!$B$33*Input!$B$28*Input!$B$11</f>
        <v>6669</v>
      </c>
      <c r="L189" s="47">
        <f>$F189*Input!$B$33*Input!$B$28*Input!$B$11</f>
        <v>6669</v>
      </c>
      <c r="M189" s="47">
        <f>J189*(1+Input!$B$36)</f>
        <v>7002.4500000000007</v>
      </c>
      <c r="N189" s="47">
        <f>K189*(1+Input!$B$36)</f>
        <v>7002.4500000000007</v>
      </c>
      <c r="O189" s="47">
        <f>L189*(1+Input!$B$36)</f>
        <v>7002.4500000000007</v>
      </c>
      <c r="P189" s="47">
        <f>M189*(1+Input!$B$36)</f>
        <v>7352.5725000000011</v>
      </c>
      <c r="Q189" s="47">
        <f>N189*(1+Input!$B$36)</f>
        <v>7352.5725000000011</v>
      </c>
      <c r="R189" s="47">
        <f>O189*(1+Input!$B$36)</f>
        <v>7352.5725000000011</v>
      </c>
      <c r="S189" s="47">
        <f>P189*(1+Input!$B$36)</f>
        <v>7720.2011250000014</v>
      </c>
      <c r="T189" s="47">
        <f>Q189*(1+Input!$B$36)</f>
        <v>7720.2011250000014</v>
      </c>
      <c r="U189" s="47">
        <f>R189*(1+Input!$B$36)</f>
        <v>7720.2011250000014</v>
      </c>
      <c r="V189" s="47">
        <f>S189*(1+Input!$B$36)</f>
        <v>8106.2111812500016</v>
      </c>
      <c r="W189" s="47">
        <f>T189*(1+Input!$B$36)</f>
        <v>8106.2111812500016</v>
      </c>
      <c r="X189" s="47">
        <f>U189*(1+Input!$B$36)</f>
        <v>8106.2111812500016</v>
      </c>
      <c r="Y189" s="47">
        <f>V189*(1+Input!$B$36)</f>
        <v>8511.5217403125025</v>
      </c>
      <c r="Z189" s="47">
        <f>W189*(1+Input!$B$36)</f>
        <v>8511.5217403125025</v>
      </c>
      <c r="AA189" s="47">
        <f>X189*(1+Input!$B$36)</f>
        <v>8511.5217403125025</v>
      </c>
      <c r="AB189" s="47">
        <f>Y189*(1+Input!$B$36)</f>
        <v>8937.0978273281289</v>
      </c>
      <c r="AC189" s="47">
        <f>Z189*(1+Input!$B$36)</f>
        <v>8937.0978273281289</v>
      </c>
      <c r="AD189" s="47">
        <f>AA189*(1+Input!$B$36)</f>
        <v>8937.0978273281289</v>
      </c>
      <c r="AE189" s="47">
        <f>AB189*(1+Input!$B$36)</f>
        <v>9383.9527186945361</v>
      </c>
      <c r="AF189" s="47">
        <f>AC189*(1+Input!$B$36)</f>
        <v>9383.9527186945361</v>
      </c>
      <c r="AG189" s="47">
        <f>AD189*(1+Input!$B$36)</f>
        <v>9383.9527186945361</v>
      </c>
      <c r="AH189" s="47">
        <f>AE189*(1+Input!$B$36)</f>
        <v>9853.1503546292624</v>
      </c>
      <c r="AI189" s="47">
        <f>AF189*(1+Input!$B$36)</f>
        <v>9853.1503546292624</v>
      </c>
      <c r="AJ189" s="47">
        <f>AG189*(1+Input!$B$36)</f>
        <v>9853.1503546292624</v>
      </c>
      <c r="AK189" s="47" t="s">
        <v>98</v>
      </c>
    </row>
    <row r="190" spans="3:37" x14ac:dyDescent="0.25">
      <c r="E190" s="64" t="str">
        <f>Input!A280</f>
        <v>Year 2</v>
      </c>
      <c r="F190" s="57">
        <f>Input!B280</f>
        <v>1235</v>
      </c>
      <c r="J190" s="47">
        <f>$F190*Input!$B$33*Input!$B$28*Input!$B$11</f>
        <v>6669</v>
      </c>
      <c r="K190" s="47">
        <f>$F190*Input!$B$33*Input!$B$28*Input!$B$11</f>
        <v>6669</v>
      </c>
      <c r="L190" s="47">
        <f>$F190*Input!$B$33*Input!$B$28*Input!$B$11</f>
        <v>6669</v>
      </c>
      <c r="M190" s="47">
        <f>J190*(1+Input!$B$36)</f>
        <v>7002.4500000000007</v>
      </c>
      <c r="N190" s="47">
        <f>K190*(1+Input!$B$36)</f>
        <v>7002.4500000000007</v>
      </c>
      <c r="O190" s="47">
        <f>L190*(1+Input!$B$36)</f>
        <v>7002.4500000000007</v>
      </c>
      <c r="P190" s="47">
        <f>M190*(1+Input!$B$36)</f>
        <v>7352.5725000000011</v>
      </c>
      <c r="Q190" s="47">
        <f>N190*(1+Input!$B$36)</f>
        <v>7352.5725000000011</v>
      </c>
      <c r="R190" s="47">
        <f>O190*(1+Input!$B$36)</f>
        <v>7352.5725000000011</v>
      </c>
      <c r="S190" s="47">
        <f>P190*(1+Input!$B$36)</f>
        <v>7720.2011250000014</v>
      </c>
      <c r="T190" s="47">
        <f>Q190*(1+Input!$B$36)</f>
        <v>7720.2011250000014</v>
      </c>
      <c r="U190" s="47">
        <f>R190*(1+Input!$B$36)</f>
        <v>7720.2011250000014</v>
      </c>
      <c r="V190" s="47">
        <f>S190*(1+Input!$B$36)</f>
        <v>8106.2111812500016</v>
      </c>
      <c r="W190" s="47">
        <f>T190*(1+Input!$B$36)</f>
        <v>8106.2111812500016</v>
      </c>
      <c r="X190" s="47">
        <f>U190*(1+Input!$B$36)</f>
        <v>8106.2111812500016</v>
      </c>
      <c r="Y190" s="47">
        <f>V190*(1+Input!$B$36)</f>
        <v>8511.5217403125025</v>
      </c>
      <c r="Z190" s="47">
        <f>W190*(1+Input!$B$36)</f>
        <v>8511.5217403125025</v>
      </c>
      <c r="AA190" s="47">
        <f>X190*(1+Input!$B$36)</f>
        <v>8511.5217403125025</v>
      </c>
      <c r="AB190" s="47">
        <f>Y190*(1+Input!$B$36)</f>
        <v>8937.0978273281289</v>
      </c>
      <c r="AC190" s="47">
        <f>Z190*(1+Input!$B$36)</f>
        <v>8937.0978273281289</v>
      </c>
      <c r="AD190" s="47">
        <f>AA190*(1+Input!$B$36)</f>
        <v>8937.0978273281289</v>
      </c>
      <c r="AE190" s="47">
        <f>AB190*(1+Input!$B$36)</f>
        <v>9383.9527186945361</v>
      </c>
      <c r="AF190" s="47">
        <f>AC190*(1+Input!$B$36)</f>
        <v>9383.9527186945361</v>
      </c>
      <c r="AG190" s="47">
        <f>AD190*(1+Input!$B$36)</f>
        <v>9383.9527186945361</v>
      </c>
      <c r="AH190" s="47">
        <f>AE190*(1+Input!$B$36)</f>
        <v>9853.1503546292624</v>
      </c>
      <c r="AI190" s="47">
        <f>AF190*(1+Input!$B$36)</f>
        <v>9853.1503546292624</v>
      </c>
      <c r="AJ190" s="47">
        <f>AG190*(1+Input!$B$36)</f>
        <v>9853.1503546292624</v>
      </c>
      <c r="AK190" s="47" t="s">
        <v>98</v>
      </c>
    </row>
    <row r="191" spans="3:37" x14ac:dyDescent="0.25">
      <c r="E191" s="64" t="str">
        <f>Input!A281</f>
        <v>Year 3</v>
      </c>
      <c r="F191" s="57">
        <f>Input!B281</f>
        <v>1235</v>
      </c>
      <c r="J191" s="47">
        <f>$F191*Input!$B$33*Input!$B$28*Input!$B$11</f>
        <v>6669</v>
      </c>
      <c r="K191" s="47">
        <f>$F191*Input!$B$33*Input!$B$28*Input!$B$11</f>
        <v>6669</v>
      </c>
      <c r="L191" s="47">
        <f>$F191*Input!$B$33*Input!$B$28*Input!$B$11</f>
        <v>6669</v>
      </c>
      <c r="M191" s="47">
        <f>J191*(1+Input!$B$36)</f>
        <v>7002.4500000000007</v>
      </c>
      <c r="N191" s="47">
        <f>K191*(1+Input!$B$36)</f>
        <v>7002.4500000000007</v>
      </c>
      <c r="O191" s="47">
        <f>L191*(1+Input!$B$36)</f>
        <v>7002.4500000000007</v>
      </c>
      <c r="P191" s="47">
        <f>M191*(1+Input!$B$36)</f>
        <v>7352.5725000000011</v>
      </c>
      <c r="Q191" s="47">
        <f>N191*(1+Input!$B$36)</f>
        <v>7352.5725000000011</v>
      </c>
      <c r="R191" s="47">
        <f>O191*(1+Input!$B$36)</f>
        <v>7352.5725000000011</v>
      </c>
      <c r="S191" s="47">
        <f>P191*(1+Input!$B$36)</f>
        <v>7720.2011250000014</v>
      </c>
      <c r="T191" s="47">
        <f>Q191*(1+Input!$B$36)</f>
        <v>7720.2011250000014</v>
      </c>
      <c r="U191" s="47">
        <f>R191*(1+Input!$B$36)</f>
        <v>7720.2011250000014</v>
      </c>
      <c r="V191" s="47">
        <f>S191*(1+Input!$B$36)</f>
        <v>8106.2111812500016</v>
      </c>
      <c r="W191" s="47">
        <f>T191*(1+Input!$B$36)</f>
        <v>8106.2111812500016</v>
      </c>
      <c r="X191" s="47">
        <f>U191*(1+Input!$B$36)</f>
        <v>8106.2111812500016</v>
      </c>
      <c r="Y191" s="47">
        <f>V191*(1+Input!$B$36)</f>
        <v>8511.5217403125025</v>
      </c>
      <c r="Z191" s="47">
        <f>W191*(1+Input!$B$36)</f>
        <v>8511.5217403125025</v>
      </c>
      <c r="AA191" s="47">
        <f>X191*(1+Input!$B$36)</f>
        <v>8511.5217403125025</v>
      </c>
      <c r="AB191" s="47">
        <f>Y191*(1+Input!$B$36)</f>
        <v>8937.0978273281289</v>
      </c>
      <c r="AC191" s="47">
        <f>Z191*(1+Input!$B$36)</f>
        <v>8937.0978273281289</v>
      </c>
      <c r="AD191" s="47">
        <f>AA191*(1+Input!$B$36)</f>
        <v>8937.0978273281289</v>
      </c>
      <c r="AE191" s="47">
        <f>AB191*(1+Input!$B$36)</f>
        <v>9383.9527186945361</v>
      </c>
      <c r="AF191" s="47">
        <f>AC191*(1+Input!$B$36)</f>
        <v>9383.9527186945361</v>
      </c>
      <c r="AG191" s="47">
        <f>AD191*(1+Input!$B$36)</f>
        <v>9383.9527186945361</v>
      </c>
      <c r="AH191" s="47">
        <f>AE191*(1+Input!$B$36)</f>
        <v>9853.1503546292624</v>
      </c>
      <c r="AI191" s="47">
        <f>AF191*(1+Input!$B$36)</f>
        <v>9853.1503546292624</v>
      </c>
      <c r="AJ191" s="47">
        <f>AG191*(1+Input!$B$36)</f>
        <v>9853.1503546292624</v>
      </c>
      <c r="AK191" s="47" t="s">
        <v>98</v>
      </c>
    </row>
    <row r="192" spans="3:37" x14ac:dyDescent="0.25">
      <c r="E192" s="64" t="str">
        <f>Input!A282</f>
        <v>Year 4</v>
      </c>
      <c r="F192" s="57">
        <f>Input!B282</f>
        <v>1365</v>
      </c>
      <c r="J192" s="47">
        <f>$F192*Input!$B$33*Input!$B$28*Input!$B$11</f>
        <v>7371</v>
      </c>
      <c r="K192" s="47">
        <f>$F192*Input!$B$33*Input!$B$28*Input!$B$11</f>
        <v>7371</v>
      </c>
      <c r="L192" s="47">
        <f>$F192*Input!$B$33*Input!$B$28*Input!$B$11</f>
        <v>7371</v>
      </c>
      <c r="M192" s="47">
        <f>J192*(1+Input!$B$36)</f>
        <v>7739.55</v>
      </c>
      <c r="N192" s="47">
        <f>K192*(1+Input!$B$36)</f>
        <v>7739.55</v>
      </c>
      <c r="O192" s="47">
        <f>L192*(1+Input!$B$36)</f>
        <v>7739.55</v>
      </c>
      <c r="P192" s="47">
        <f>M192*(1+Input!$B$36)</f>
        <v>8126.5275000000001</v>
      </c>
      <c r="Q192" s="47">
        <f>N192*(1+Input!$B$36)</f>
        <v>8126.5275000000001</v>
      </c>
      <c r="R192" s="47">
        <f>O192*(1+Input!$B$36)</f>
        <v>8126.5275000000001</v>
      </c>
      <c r="S192" s="47">
        <f>P192*(1+Input!$B$36)</f>
        <v>8532.8538750000007</v>
      </c>
      <c r="T192" s="47">
        <f>Q192*(1+Input!$B$36)</f>
        <v>8532.8538750000007</v>
      </c>
      <c r="U192" s="47">
        <f>R192*(1+Input!$B$36)</f>
        <v>8532.8538750000007</v>
      </c>
      <c r="V192" s="47">
        <f>S192*(1+Input!$B$36)</f>
        <v>8959.4965687500007</v>
      </c>
      <c r="W192" s="47">
        <f>T192*(1+Input!$B$36)</f>
        <v>8959.4965687500007</v>
      </c>
      <c r="X192" s="47">
        <f>U192*(1+Input!$B$36)</f>
        <v>8959.4965687500007</v>
      </c>
      <c r="Y192" s="47">
        <f>V192*(1+Input!$B$36)</f>
        <v>9407.4713971875008</v>
      </c>
      <c r="Z192" s="47">
        <f>W192*(1+Input!$B$36)</f>
        <v>9407.4713971875008</v>
      </c>
      <c r="AA192" s="47">
        <f>X192*(1+Input!$B$36)</f>
        <v>9407.4713971875008</v>
      </c>
      <c r="AB192" s="47">
        <f>Y192*(1+Input!$B$36)</f>
        <v>9877.8449670468763</v>
      </c>
      <c r="AC192" s="47">
        <f>Z192*(1+Input!$B$36)</f>
        <v>9877.8449670468763</v>
      </c>
      <c r="AD192" s="47">
        <f>AA192*(1+Input!$B$36)</f>
        <v>9877.8449670468763</v>
      </c>
      <c r="AE192" s="47">
        <f>AB192*(1+Input!$B$36)</f>
        <v>10371.73721539922</v>
      </c>
      <c r="AF192" s="47">
        <f>AC192*(1+Input!$B$36)</f>
        <v>10371.73721539922</v>
      </c>
      <c r="AG192" s="47">
        <f>AD192*(1+Input!$B$36)</f>
        <v>10371.73721539922</v>
      </c>
      <c r="AH192" s="47">
        <f>AE192*(1+Input!$B$36)</f>
        <v>10890.324076169181</v>
      </c>
      <c r="AI192" s="47">
        <f>AF192*(1+Input!$B$36)</f>
        <v>10890.324076169181</v>
      </c>
      <c r="AJ192" s="47">
        <f>AG192*(1+Input!$B$36)</f>
        <v>10890.324076169181</v>
      </c>
      <c r="AK192" s="47" t="s">
        <v>98</v>
      </c>
    </row>
    <row r="193" spans="3:37" x14ac:dyDescent="0.25">
      <c r="E193" s="64" t="str">
        <f>Input!A283</f>
        <v>Year 5</v>
      </c>
      <c r="F193" s="57">
        <f>Input!B283</f>
        <v>1365</v>
      </c>
      <c r="J193" s="47">
        <f>$F193*Input!$B$33*Input!$B$28*Input!$B$11</f>
        <v>7371</v>
      </c>
      <c r="K193" s="47">
        <f>$F193*Input!$B$33*Input!$B$28*Input!$B$11</f>
        <v>7371</v>
      </c>
      <c r="L193" s="47">
        <f>$F193*Input!$B$33*Input!$B$28*Input!$B$11</f>
        <v>7371</v>
      </c>
      <c r="M193" s="47">
        <f>J193*(1+Input!$B$36)</f>
        <v>7739.55</v>
      </c>
      <c r="N193" s="47">
        <f>K193*(1+Input!$B$36)</f>
        <v>7739.55</v>
      </c>
      <c r="O193" s="47">
        <f>L193*(1+Input!$B$36)</f>
        <v>7739.55</v>
      </c>
      <c r="P193" s="47">
        <f>M193*(1+Input!$B$36)</f>
        <v>8126.5275000000001</v>
      </c>
      <c r="Q193" s="47">
        <f>N193*(1+Input!$B$36)</f>
        <v>8126.5275000000001</v>
      </c>
      <c r="R193" s="47">
        <f>O193*(1+Input!$B$36)</f>
        <v>8126.5275000000001</v>
      </c>
      <c r="S193" s="47">
        <f>P193*(1+Input!$B$36)</f>
        <v>8532.8538750000007</v>
      </c>
      <c r="T193" s="47">
        <f>Q193*(1+Input!$B$36)</f>
        <v>8532.8538750000007</v>
      </c>
      <c r="U193" s="47">
        <f>R193*(1+Input!$B$36)</f>
        <v>8532.8538750000007</v>
      </c>
      <c r="V193" s="47">
        <f>S193*(1+Input!$B$36)</f>
        <v>8959.4965687500007</v>
      </c>
      <c r="W193" s="47">
        <f>T193*(1+Input!$B$36)</f>
        <v>8959.4965687500007</v>
      </c>
      <c r="X193" s="47">
        <f>U193*(1+Input!$B$36)</f>
        <v>8959.4965687500007</v>
      </c>
      <c r="Y193" s="47">
        <f>V193*(1+Input!$B$36)</f>
        <v>9407.4713971875008</v>
      </c>
      <c r="Z193" s="47">
        <f>W193*(1+Input!$B$36)</f>
        <v>9407.4713971875008</v>
      </c>
      <c r="AA193" s="47">
        <f>X193*(1+Input!$B$36)</f>
        <v>9407.4713971875008</v>
      </c>
      <c r="AB193" s="47">
        <f>Y193*(1+Input!$B$36)</f>
        <v>9877.8449670468763</v>
      </c>
      <c r="AC193" s="47">
        <f>Z193*(1+Input!$B$36)</f>
        <v>9877.8449670468763</v>
      </c>
      <c r="AD193" s="47">
        <f>AA193*(1+Input!$B$36)</f>
        <v>9877.8449670468763</v>
      </c>
      <c r="AE193" s="47">
        <f>AB193*(1+Input!$B$36)</f>
        <v>10371.73721539922</v>
      </c>
      <c r="AF193" s="47">
        <f>AC193*(1+Input!$B$36)</f>
        <v>10371.73721539922</v>
      </c>
      <c r="AG193" s="47">
        <f>AD193*(1+Input!$B$36)</f>
        <v>10371.73721539922</v>
      </c>
      <c r="AH193" s="47">
        <f>AE193*(1+Input!$B$36)</f>
        <v>10890.324076169181</v>
      </c>
      <c r="AI193" s="47">
        <f>AF193*(1+Input!$B$36)</f>
        <v>10890.324076169181</v>
      </c>
      <c r="AJ193" s="47">
        <f>AG193*(1+Input!$B$36)</f>
        <v>10890.324076169181</v>
      </c>
      <c r="AK193" s="47" t="s">
        <v>98</v>
      </c>
    </row>
    <row r="194" spans="3:37" x14ac:dyDescent="0.25">
      <c r="E194" s="64" t="str">
        <f>Input!A284</f>
        <v>Year 6</v>
      </c>
      <c r="F194" s="57">
        <f>Input!B284</f>
        <v>1365</v>
      </c>
      <c r="J194" s="47">
        <f>$F194*Input!$B$33*Input!$B$28*Input!$B$11</f>
        <v>7371</v>
      </c>
      <c r="K194" s="47">
        <f>$F194*Input!$B$33*Input!$B$28*Input!$B$11</f>
        <v>7371</v>
      </c>
      <c r="L194" s="47">
        <f>$F194*Input!$B$33*Input!$B$28*Input!$B$11</f>
        <v>7371</v>
      </c>
      <c r="M194" s="47">
        <f>J194*(1+Input!$B$36)</f>
        <v>7739.55</v>
      </c>
      <c r="N194" s="47">
        <f>K194*(1+Input!$B$36)</f>
        <v>7739.55</v>
      </c>
      <c r="O194" s="47">
        <f>L194*(1+Input!$B$36)</f>
        <v>7739.55</v>
      </c>
      <c r="P194" s="47">
        <f>M194*(1+Input!$B$36)</f>
        <v>8126.5275000000001</v>
      </c>
      <c r="Q194" s="47">
        <f>N194*(1+Input!$B$36)</f>
        <v>8126.5275000000001</v>
      </c>
      <c r="R194" s="47">
        <f>O194*(1+Input!$B$36)</f>
        <v>8126.5275000000001</v>
      </c>
      <c r="S194" s="47">
        <f>P194*(1+Input!$B$36)</f>
        <v>8532.8538750000007</v>
      </c>
      <c r="T194" s="47">
        <f>Q194*(1+Input!$B$36)</f>
        <v>8532.8538750000007</v>
      </c>
      <c r="U194" s="47">
        <f>R194*(1+Input!$B$36)</f>
        <v>8532.8538750000007</v>
      </c>
      <c r="V194" s="47">
        <f>S194*(1+Input!$B$36)</f>
        <v>8959.4965687500007</v>
      </c>
      <c r="W194" s="47">
        <f>T194*(1+Input!$B$36)</f>
        <v>8959.4965687500007</v>
      </c>
      <c r="X194" s="47">
        <f>U194*(1+Input!$B$36)</f>
        <v>8959.4965687500007</v>
      </c>
      <c r="Y194" s="47">
        <f>V194*(1+Input!$B$36)</f>
        <v>9407.4713971875008</v>
      </c>
      <c r="Z194" s="47">
        <f>W194*(1+Input!$B$36)</f>
        <v>9407.4713971875008</v>
      </c>
      <c r="AA194" s="47">
        <f>X194*(1+Input!$B$36)</f>
        <v>9407.4713971875008</v>
      </c>
      <c r="AB194" s="47">
        <f>Y194*(1+Input!$B$36)</f>
        <v>9877.8449670468763</v>
      </c>
      <c r="AC194" s="47">
        <f>Z194*(1+Input!$B$36)</f>
        <v>9877.8449670468763</v>
      </c>
      <c r="AD194" s="47">
        <f>AA194*(1+Input!$B$36)</f>
        <v>9877.8449670468763</v>
      </c>
      <c r="AE194" s="47">
        <f>AB194*(1+Input!$B$36)</f>
        <v>10371.73721539922</v>
      </c>
      <c r="AF194" s="47">
        <f>AC194*(1+Input!$B$36)</f>
        <v>10371.73721539922</v>
      </c>
      <c r="AG194" s="47">
        <f>AD194*(1+Input!$B$36)</f>
        <v>10371.73721539922</v>
      </c>
      <c r="AH194" s="47">
        <f>AE194*(1+Input!$B$36)</f>
        <v>10890.324076169181</v>
      </c>
      <c r="AI194" s="47">
        <f>AF194*(1+Input!$B$36)</f>
        <v>10890.324076169181</v>
      </c>
      <c r="AJ194" s="47">
        <f>AG194*(1+Input!$B$36)</f>
        <v>10890.324076169181</v>
      </c>
      <c r="AK194" s="47" t="s">
        <v>98</v>
      </c>
    </row>
    <row r="195" spans="3:37" x14ac:dyDescent="0.25">
      <c r="E195" s="64" t="str">
        <f>Input!A285</f>
        <v>Year 7</v>
      </c>
      <c r="F195" s="57">
        <f>Input!B285</f>
        <v>1415</v>
      </c>
      <c r="J195" s="47">
        <f>$F195*Input!$B$33*Input!$B$28*Input!$B$11</f>
        <v>7641</v>
      </c>
      <c r="K195" s="47">
        <f>$F195*Input!$B$33*Input!$B$28*Input!$B$11</f>
        <v>7641</v>
      </c>
      <c r="L195" s="47">
        <f>$F195*Input!$B$33*Input!$B$28*Input!$B$11</f>
        <v>7641</v>
      </c>
      <c r="M195" s="47">
        <f>J195*(1+Input!$B$36)</f>
        <v>8023.05</v>
      </c>
      <c r="N195" s="47">
        <f>K195*(1+Input!$B$36)</f>
        <v>8023.05</v>
      </c>
      <c r="O195" s="47">
        <f>L195*(1+Input!$B$36)</f>
        <v>8023.05</v>
      </c>
      <c r="P195" s="47">
        <f>M195*(1+Input!$B$36)</f>
        <v>8424.2025000000012</v>
      </c>
      <c r="Q195" s="47">
        <f>N195*(1+Input!$B$36)</f>
        <v>8424.2025000000012</v>
      </c>
      <c r="R195" s="47">
        <f>O195*(1+Input!$B$36)</f>
        <v>8424.2025000000012</v>
      </c>
      <c r="S195" s="47">
        <f>P195*(1+Input!$B$36)</f>
        <v>8845.4126250000008</v>
      </c>
      <c r="T195" s="47">
        <f>Q195*(1+Input!$B$36)</f>
        <v>8845.4126250000008</v>
      </c>
      <c r="U195" s="47">
        <f>R195*(1+Input!$B$36)</f>
        <v>8845.4126250000008</v>
      </c>
      <c r="V195" s="47">
        <f>S195*(1+Input!$B$36)</f>
        <v>9287.6832562500022</v>
      </c>
      <c r="W195" s="47">
        <f>T195*(1+Input!$B$36)</f>
        <v>9287.6832562500022</v>
      </c>
      <c r="X195" s="47">
        <f>U195*(1+Input!$B$36)</f>
        <v>9287.6832562500022</v>
      </c>
      <c r="Y195" s="47">
        <f>V195*(1+Input!$B$36)</f>
        <v>9752.0674190625032</v>
      </c>
      <c r="Z195" s="47">
        <f>W195*(1+Input!$B$36)</f>
        <v>9752.0674190625032</v>
      </c>
      <c r="AA195" s="47">
        <f>X195*(1+Input!$B$36)</f>
        <v>9752.0674190625032</v>
      </c>
      <c r="AB195" s="47">
        <f>Y195*(1+Input!$B$36)</f>
        <v>10239.670790015629</v>
      </c>
      <c r="AC195" s="47">
        <f>Z195*(1+Input!$B$36)</f>
        <v>10239.670790015629</v>
      </c>
      <c r="AD195" s="47">
        <f>AA195*(1+Input!$B$36)</f>
        <v>10239.670790015629</v>
      </c>
      <c r="AE195" s="47">
        <f>AB195*(1+Input!$B$36)</f>
        <v>10751.65432951641</v>
      </c>
      <c r="AF195" s="47">
        <f>AC195*(1+Input!$B$36)</f>
        <v>10751.65432951641</v>
      </c>
      <c r="AG195" s="47">
        <f>AD195*(1+Input!$B$36)</f>
        <v>10751.65432951641</v>
      </c>
      <c r="AH195" s="47">
        <f>AE195*(1+Input!$B$36)</f>
        <v>11289.237045992231</v>
      </c>
      <c r="AI195" s="47">
        <f>AF195*(1+Input!$B$36)</f>
        <v>11289.237045992231</v>
      </c>
      <c r="AJ195" s="47">
        <f>AG195*(1+Input!$B$36)</f>
        <v>11289.237045992231</v>
      </c>
      <c r="AK195" s="47" t="s">
        <v>98</v>
      </c>
    </row>
    <row r="196" spans="3:37" x14ac:dyDescent="0.25">
      <c r="E196" s="64" t="str">
        <f>Input!A286</f>
        <v>Year 8</v>
      </c>
      <c r="F196" s="57">
        <f>Input!B286</f>
        <v>1415</v>
      </c>
      <c r="J196" s="47">
        <f>$F196*Input!$B$33*Input!$B$28*Input!$B$11</f>
        <v>7641</v>
      </c>
      <c r="K196" s="47">
        <f>$F196*Input!$B$33*Input!$B$28*Input!$B$11</f>
        <v>7641</v>
      </c>
      <c r="L196" s="47">
        <f>$F196*Input!$B$33*Input!$B$28*Input!$B$11</f>
        <v>7641</v>
      </c>
      <c r="M196" s="47">
        <f>J196*(1+Input!$B$36)</f>
        <v>8023.05</v>
      </c>
      <c r="N196" s="47">
        <f>K196*(1+Input!$B$36)</f>
        <v>8023.05</v>
      </c>
      <c r="O196" s="47">
        <f>L196*(1+Input!$B$36)</f>
        <v>8023.05</v>
      </c>
      <c r="P196" s="47">
        <f>M196*(1+Input!$B$36)</f>
        <v>8424.2025000000012</v>
      </c>
      <c r="Q196" s="47">
        <f>N196*(1+Input!$B$36)</f>
        <v>8424.2025000000012</v>
      </c>
      <c r="R196" s="47">
        <f>O196*(1+Input!$B$36)</f>
        <v>8424.2025000000012</v>
      </c>
      <c r="S196" s="47">
        <f>P196*(1+Input!$B$36)</f>
        <v>8845.4126250000008</v>
      </c>
      <c r="T196" s="47">
        <f>Q196*(1+Input!$B$36)</f>
        <v>8845.4126250000008</v>
      </c>
      <c r="U196" s="47">
        <f>R196*(1+Input!$B$36)</f>
        <v>8845.4126250000008</v>
      </c>
      <c r="V196" s="47">
        <f>S196*(1+Input!$B$36)</f>
        <v>9287.6832562500022</v>
      </c>
      <c r="W196" s="47">
        <f>T196*(1+Input!$B$36)</f>
        <v>9287.6832562500022</v>
      </c>
      <c r="X196" s="47">
        <f>U196*(1+Input!$B$36)</f>
        <v>9287.6832562500022</v>
      </c>
      <c r="Y196" s="47">
        <f>V196*(1+Input!$B$36)</f>
        <v>9752.0674190625032</v>
      </c>
      <c r="Z196" s="47">
        <f>W196*(1+Input!$B$36)</f>
        <v>9752.0674190625032</v>
      </c>
      <c r="AA196" s="47">
        <f>X196*(1+Input!$B$36)</f>
        <v>9752.0674190625032</v>
      </c>
      <c r="AB196" s="47">
        <f>Y196*(1+Input!$B$36)</f>
        <v>10239.670790015629</v>
      </c>
      <c r="AC196" s="47">
        <f>Z196*(1+Input!$B$36)</f>
        <v>10239.670790015629</v>
      </c>
      <c r="AD196" s="47">
        <f>AA196*(1+Input!$B$36)</f>
        <v>10239.670790015629</v>
      </c>
      <c r="AE196" s="47">
        <f>AB196*(1+Input!$B$36)</f>
        <v>10751.65432951641</v>
      </c>
      <c r="AF196" s="47">
        <f>AC196*(1+Input!$B$36)</f>
        <v>10751.65432951641</v>
      </c>
      <c r="AG196" s="47">
        <f>AD196*(1+Input!$B$36)</f>
        <v>10751.65432951641</v>
      </c>
      <c r="AH196" s="47">
        <f>AE196*(1+Input!$B$36)</f>
        <v>11289.237045992231</v>
      </c>
      <c r="AI196" s="47">
        <f>AF196*(1+Input!$B$36)</f>
        <v>11289.237045992231</v>
      </c>
      <c r="AJ196" s="47">
        <f>AG196*(1+Input!$B$36)</f>
        <v>11289.237045992231</v>
      </c>
      <c r="AK196" s="47" t="s">
        <v>98</v>
      </c>
    </row>
    <row r="197" spans="3:37" x14ac:dyDescent="0.25">
      <c r="E197" s="64" t="str">
        <f>Input!A287</f>
        <v>Year 9</v>
      </c>
      <c r="F197" s="57">
        <f>Input!B287</f>
        <v>1415</v>
      </c>
      <c r="J197" s="47">
        <f>$F197*Input!$B$33*Input!$B$28*Input!$B$11</f>
        <v>7641</v>
      </c>
      <c r="K197" s="47">
        <f>$F197*Input!$B$33*Input!$B$28*Input!$B$11</f>
        <v>7641</v>
      </c>
      <c r="L197" s="47">
        <f>$F197*Input!$B$33*Input!$B$28*Input!$B$11</f>
        <v>7641</v>
      </c>
      <c r="M197" s="47">
        <f>J197*(1+Input!$B$36)</f>
        <v>8023.05</v>
      </c>
      <c r="N197" s="47">
        <f>K197*(1+Input!$B$36)</f>
        <v>8023.05</v>
      </c>
      <c r="O197" s="47">
        <f>L197*(1+Input!$B$36)</f>
        <v>8023.05</v>
      </c>
      <c r="P197" s="47">
        <f>M197*(1+Input!$B$36)</f>
        <v>8424.2025000000012</v>
      </c>
      <c r="Q197" s="47">
        <f>N197*(1+Input!$B$36)</f>
        <v>8424.2025000000012</v>
      </c>
      <c r="R197" s="47">
        <f>O197*(1+Input!$B$36)</f>
        <v>8424.2025000000012</v>
      </c>
      <c r="S197" s="47">
        <f>P197*(1+Input!$B$36)</f>
        <v>8845.4126250000008</v>
      </c>
      <c r="T197" s="47">
        <f>Q197*(1+Input!$B$36)</f>
        <v>8845.4126250000008</v>
      </c>
      <c r="U197" s="47">
        <f>R197*(1+Input!$B$36)</f>
        <v>8845.4126250000008</v>
      </c>
      <c r="V197" s="47">
        <f>S197*(1+Input!$B$36)</f>
        <v>9287.6832562500022</v>
      </c>
      <c r="W197" s="47">
        <f>T197*(1+Input!$B$36)</f>
        <v>9287.6832562500022</v>
      </c>
      <c r="X197" s="47">
        <f>U197*(1+Input!$B$36)</f>
        <v>9287.6832562500022</v>
      </c>
      <c r="Y197" s="47">
        <f>V197*(1+Input!$B$36)</f>
        <v>9752.0674190625032</v>
      </c>
      <c r="Z197" s="47">
        <f>W197*(1+Input!$B$36)</f>
        <v>9752.0674190625032</v>
      </c>
      <c r="AA197" s="47">
        <f>X197*(1+Input!$B$36)</f>
        <v>9752.0674190625032</v>
      </c>
      <c r="AB197" s="47">
        <f>Y197*(1+Input!$B$36)</f>
        <v>10239.670790015629</v>
      </c>
      <c r="AC197" s="47">
        <f>Z197*(1+Input!$B$36)</f>
        <v>10239.670790015629</v>
      </c>
      <c r="AD197" s="47">
        <f>AA197*(1+Input!$B$36)</f>
        <v>10239.670790015629</v>
      </c>
      <c r="AE197" s="47">
        <f>AB197*(1+Input!$B$36)</f>
        <v>10751.65432951641</v>
      </c>
      <c r="AF197" s="47">
        <f>AC197*(1+Input!$B$36)</f>
        <v>10751.65432951641</v>
      </c>
      <c r="AG197" s="47">
        <f>AD197*(1+Input!$B$36)</f>
        <v>10751.65432951641</v>
      </c>
      <c r="AH197" s="47">
        <f>AE197*(1+Input!$B$36)</f>
        <v>11289.237045992231</v>
      </c>
      <c r="AI197" s="47">
        <f>AF197*(1+Input!$B$36)</f>
        <v>11289.237045992231</v>
      </c>
      <c r="AJ197" s="47">
        <f>AG197*(1+Input!$B$36)</f>
        <v>11289.237045992231</v>
      </c>
      <c r="AK197" s="47" t="s">
        <v>98</v>
      </c>
    </row>
    <row r="198" spans="3:37" x14ac:dyDescent="0.25">
      <c r="E198" s="64" t="str">
        <f>Input!A288</f>
        <v>Year 10</v>
      </c>
      <c r="F198" s="57">
        <f>Input!B288</f>
        <v>1415</v>
      </c>
      <c r="J198" s="47">
        <f>$F198*Input!$B$33*Input!$B$28*Input!$B$11</f>
        <v>7641</v>
      </c>
      <c r="K198" s="47">
        <f>$F198*Input!$B$33*Input!$B$28*Input!$B$11</f>
        <v>7641</v>
      </c>
      <c r="L198" s="47">
        <f>$F198*Input!$B$33*Input!$B$28*Input!$B$11</f>
        <v>7641</v>
      </c>
      <c r="M198" s="47">
        <f>J198*(1+Input!$B$36)</f>
        <v>8023.05</v>
      </c>
      <c r="N198" s="47">
        <f>K198*(1+Input!$B$36)</f>
        <v>8023.05</v>
      </c>
      <c r="O198" s="47">
        <f>L198*(1+Input!$B$36)</f>
        <v>8023.05</v>
      </c>
      <c r="P198" s="47">
        <f>M198*(1+Input!$B$36)</f>
        <v>8424.2025000000012</v>
      </c>
      <c r="Q198" s="47">
        <f>N198*(1+Input!$B$36)</f>
        <v>8424.2025000000012</v>
      </c>
      <c r="R198" s="47">
        <f>O198*(1+Input!$B$36)</f>
        <v>8424.2025000000012</v>
      </c>
      <c r="S198" s="47">
        <f>P198*(1+Input!$B$36)</f>
        <v>8845.4126250000008</v>
      </c>
      <c r="T198" s="47">
        <f>Q198*(1+Input!$B$36)</f>
        <v>8845.4126250000008</v>
      </c>
      <c r="U198" s="47">
        <f>R198*(1+Input!$B$36)</f>
        <v>8845.4126250000008</v>
      </c>
      <c r="V198" s="47">
        <f>S198*(1+Input!$B$36)</f>
        <v>9287.6832562500022</v>
      </c>
      <c r="W198" s="47">
        <f>T198*(1+Input!$B$36)</f>
        <v>9287.6832562500022</v>
      </c>
      <c r="X198" s="47">
        <f>U198*(1+Input!$B$36)</f>
        <v>9287.6832562500022</v>
      </c>
      <c r="Y198" s="47">
        <f>V198*(1+Input!$B$36)</f>
        <v>9752.0674190625032</v>
      </c>
      <c r="Z198" s="47">
        <f>W198*(1+Input!$B$36)</f>
        <v>9752.0674190625032</v>
      </c>
      <c r="AA198" s="47">
        <f>X198*(1+Input!$B$36)</f>
        <v>9752.0674190625032</v>
      </c>
      <c r="AB198" s="47">
        <f>Y198*(1+Input!$B$36)</f>
        <v>10239.670790015629</v>
      </c>
      <c r="AC198" s="47">
        <f>Z198*(1+Input!$B$36)</f>
        <v>10239.670790015629</v>
      </c>
      <c r="AD198" s="47">
        <f>AA198*(1+Input!$B$36)</f>
        <v>10239.670790015629</v>
      </c>
      <c r="AE198" s="47">
        <f>AB198*(1+Input!$B$36)</f>
        <v>10751.65432951641</v>
      </c>
      <c r="AF198" s="47">
        <f>AC198*(1+Input!$B$36)</f>
        <v>10751.65432951641</v>
      </c>
      <c r="AG198" s="47">
        <f>AD198*(1+Input!$B$36)</f>
        <v>10751.65432951641</v>
      </c>
      <c r="AH198" s="47">
        <f>AE198*(1+Input!$B$36)</f>
        <v>11289.237045992231</v>
      </c>
      <c r="AI198" s="47">
        <f>AF198*(1+Input!$B$36)</f>
        <v>11289.237045992231</v>
      </c>
      <c r="AJ198" s="47">
        <f>AG198*(1+Input!$B$36)</f>
        <v>11289.237045992231</v>
      </c>
      <c r="AK198" s="47" t="s">
        <v>98</v>
      </c>
    </row>
    <row r="199" spans="3:37" x14ac:dyDescent="0.25">
      <c r="E199" s="64" t="str">
        <f>Input!A289</f>
        <v>Year 11</v>
      </c>
      <c r="F199" s="57">
        <f>Input!B289</f>
        <v>1415</v>
      </c>
      <c r="J199" s="47">
        <f>$F199*Input!$B$33*Input!$B$28*Input!$B$11</f>
        <v>7641</v>
      </c>
      <c r="K199" s="47">
        <f>$F199*Input!$B$33*Input!$B$28*Input!$B$11</f>
        <v>7641</v>
      </c>
      <c r="L199" s="47">
        <f>$F199*Input!$B$33*Input!$B$28*Input!$B$11</f>
        <v>7641</v>
      </c>
      <c r="M199" s="47">
        <f>J199*(1+Input!$B$36)</f>
        <v>8023.05</v>
      </c>
      <c r="N199" s="47">
        <f>K199*(1+Input!$B$36)</f>
        <v>8023.05</v>
      </c>
      <c r="O199" s="47">
        <f>L199*(1+Input!$B$36)</f>
        <v>8023.05</v>
      </c>
      <c r="P199" s="47">
        <f>M199*(1+Input!$B$36)</f>
        <v>8424.2025000000012</v>
      </c>
      <c r="Q199" s="47">
        <f>N199*(1+Input!$B$36)</f>
        <v>8424.2025000000012</v>
      </c>
      <c r="R199" s="47">
        <f>O199*(1+Input!$B$36)</f>
        <v>8424.2025000000012</v>
      </c>
      <c r="S199" s="47">
        <f>P199*(1+Input!$B$36)</f>
        <v>8845.4126250000008</v>
      </c>
      <c r="T199" s="47">
        <f>Q199*(1+Input!$B$36)</f>
        <v>8845.4126250000008</v>
      </c>
      <c r="U199" s="47">
        <f>R199*(1+Input!$B$36)</f>
        <v>8845.4126250000008</v>
      </c>
      <c r="V199" s="47">
        <f>S199*(1+Input!$B$36)</f>
        <v>9287.6832562500022</v>
      </c>
      <c r="W199" s="47">
        <f>T199*(1+Input!$B$36)</f>
        <v>9287.6832562500022</v>
      </c>
      <c r="X199" s="47">
        <f>U199*(1+Input!$B$36)</f>
        <v>9287.6832562500022</v>
      </c>
      <c r="Y199" s="47">
        <f>V199*(1+Input!$B$36)</f>
        <v>9752.0674190625032</v>
      </c>
      <c r="Z199" s="47">
        <f>W199*(1+Input!$B$36)</f>
        <v>9752.0674190625032</v>
      </c>
      <c r="AA199" s="47">
        <f>X199*(1+Input!$B$36)</f>
        <v>9752.0674190625032</v>
      </c>
      <c r="AB199" s="47">
        <f>Y199*(1+Input!$B$36)</f>
        <v>10239.670790015629</v>
      </c>
      <c r="AC199" s="47">
        <f>Z199*(1+Input!$B$36)</f>
        <v>10239.670790015629</v>
      </c>
      <c r="AD199" s="47">
        <f>AA199*(1+Input!$B$36)</f>
        <v>10239.670790015629</v>
      </c>
      <c r="AE199" s="47">
        <f>AB199*(1+Input!$B$36)</f>
        <v>10751.65432951641</v>
      </c>
      <c r="AF199" s="47">
        <f>AC199*(1+Input!$B$36)</f>
        <v>10751.65432951641</v>
      </c>
      <c r="AG199" s="47">
        <f>AD199*(1+Input!$B$36)</f>
        <v>10751.65432951641</v>
      </c>
      <c r="AH199" s="47">
        <f>AE199*(1+Input!$B$36)</f>
        <v>11289.237045992231</v>
      </c>
      <c r="AI199" s="47">
        <f>AF199*(1+Input!$B$36)</f>
        <v>11289.237045992231</v>
      </c>
      <c r="AJ199" s="47">
        <f>AG199*(1+Input!$B$36)</f>
        <v>11289.237045992231</v>
      </c>
      <c r="AK199" s="47" t="s">
        <v>98</v>
      </c>
    </row>
    <row r="200" spans="3:37" x14ac:dyDescent="0.25">
      <c r="E200" s="64" t="str">
        <f>Input!A290</f>
        <v>Year 12</v>
      </c>
      <c r="F200" s="57">
        <f>Input!B290</f>
        <v>1415</v>
      </c>
      <c r="J200" s="47">
        <f>$F200*Input!$B$33*Input!$B$28*Input!$B$11</f>
        <v>7641</v>
      </c>
      <c r="K200" s="47">
        <f>$F200*Input!$B$33*Input!$B$28*Input!$B$11</f>
        <v>7641</v>
      </c>
      <c r="L200" s="47">
        <f>$F200*Input!$B$33*Input!$B$28*Input!$B$11</f>
        <v>7641</v>
      </c>
      <c r="M200" s="47">
        <f>J200*(1+Input!$B$36)</f>
        <v>8023.05</v>
      </c>
      <c r="N200" s="47">
        <f>K200*(1+Input!$B$36)</f>
        <v>8023.05</v>
      </c>
      <c r="O200" s="47">
        <f>L200*(1+Input!$B$36)</f>
        <v>8023.05</v>
      </c>
      <c r="P200" s="47">
        <f>M200*(1+Input!$B$36)</f>
        <v>8424.2025000000012</v>
      </c>
      <c r="Q200" s="47">
        <f>N200*(1+Input!$B$36)</f>
        <v>8424.2025000000012</v>
      </c>
      <c r="R200" s="47">
        <f>O200*(1+Input!$B$36)</f>
        <v>8424.2025000000012</v>
      </c>
      <c r="S200" s="47">
        <f>P200*(1+Input!$B$36)</f>
        <v>8845.4126250000008</v>
      </c>
      <c r="T200" s="47">
        <f>Q200*(1+Input!$B$36)</f>
        <v>8845.4126250000008</v>
      </c>
      <c r="U200" s="47">
        <f>R200*(1+Input!$B$36)</f>
        <v>8845.4126250000008</v>
      </c>
      <c r="V200" s="47">
        <f>S200*(1+Input!$B$36)</f>
        <v>9287.6832562500022</v>
      </c>
      <c r="W200" s="47">
        <f>T200*(1+Input!$B$36)</f>
        <v>9287.6832562500022</v>
      </c>
      <c r="X200" s="47">
        <f>U200*(1+Input!$B$36)</f>
        <v>9287.6832562500022</v>
      </c>
      <c r="Y200" s="47">
        <f>V200*(1+Input!$B$36)</f>
        <v>9752.0674190625032</v>
      </c>
      <c r="Z200" s="47">
        <f>W200*(1+Input!$B$36)</f>
        <v>9752.0674190625032</v>
      </c>
      <c r="AA200" s="47">
        <f>X200*(1+Input!$B$36)</f>
        <v>9752.0674190625032</v>
      </c>
      <c r="AB200" s="47">
        <f>Y200*(1+Input!$B$36)</f>
        <v>10239.670790015629</v>
      </c>
      <c r="AC200" s="47">
        <f>Z200*(1+Input!$B$36)</f>
        <v>10239.670790015629</v>
      </c>
      <c r="AD200" s="47">
        <f>AA200*(1+Input!$B$36)</f>
        <v>10239.670790015629</v>
      </c>
      <c r="AE200" s="47">
        <f>AB200*(1+Input!$B$36)</f>
        <v>10751.65432951641</v>
      </c>
      <c r="AF200" s="47">
        <f>AC200*(1+Input!$B$36)</f>
        <v>10751.65432951641</v>
      </c>
      <c r="AG200" s="47">
        <f>AD200*(1+Input!$B$36)</f>
        <v>10751.65432951641</v>
      </c>
      <c r="AH200" s="47">
        <f>AE200*(1+Input!$B$36)</f>
        <v>11289.237045992231</v>
      </c>
      <c r="AI200" s="47">
        <f>AF200*(1+Input!$B$36)</f>
        <v>11289.237045992231</v>
      </c>
      <c r="AJ200" s="47">
        <f>AG200*(1+Input!$B$36)</f>
        <v>11289.237045992231</v>
      </c>
      <c r="AK200" s="47" t="s">
        <v>98</v>
      </c>
    </row>
    <row r="201" spans="3:37" x14ac:dyDescent="0.25">
      <c r="E201" s="64" t="str">
        <f>Input!A291</f>
        <v>Year 13</v>
      </c>
      <c r="F201" s="57">
        <f>Input!B291</f>
        <v>1415</v>
      </c>
      <c r="J201" s="47">
        <f>$F201*Input!$B$33*Input!$B$28*Input!$B$11</f>
        <v>7641</v>
      </c>
      <c r="K201" s="47">
        <f>$F201*Input!$B$33*Input!$B$28*Input!$B$11</f>
        <v>7641</v>
      </c>
      <c r="L201" s="47">
        <f>$F201*Input!$B$33*Input!$B$28*Input!$B$11</f>
        <v>7641</v>
      </c>
      <c r="M201" s="47">
        <f>J201*(1+Input!$B$36)</f>
        <v>8023.05</v>
      </c>
      <c r="N201" s="47">
        <f>K201*(1+Input!$B$36)</f>
        <v>8023.05</v>
      </c>
      <c r="O201" s="47">
        <f>L201*(1+Input!$B$36)</f>
        <v>8023.05</v>
      </c>
      <c r="P201" s="47">
        <f>M201*(1+Input!$B$36)</f>
        <v>8424.2025000000012</v>
      </c>
      <c r="Q201" s="47">
        <f>N201*(1+Input!$B$36)</f>
        <v>8424.2025000000012</v>
      </c>
      <c r="R201" s="47">
        <f>O201*(1+Input!$B$36)</f>
        <v>8424.2025000000012</v>
      </c>
      <c r="S201" s="47">
        <f>P201*(1+Input!$B$36)</f>
        <v>8845.4126250000008</v>
      </c>
      <c r="T201" s="47">
        <f>Q201*(1+Input!$B$36)</f>
        <v>8845.4126250000008</v>
      </c>
      <c r="U201" s="47">
        <f>R201*(1+Input!$B$36)</f>
        <v>8845.4126250000008</v>
      </c>
      <c r="V201" s="47">
        <f>S201*(1+Input!$B$36)</f>
        <v>9287.6832562500022</v>
      </c>
      <c r="W201" s="47">
        <f>T201*(1+Input!$B$36)</f>
        <v>9287.6832562500022</v>
      </c>
      <c r="X201" s="47">
        <f>U201*(1+Input!$B$36)</f>
        <v>9287.6832562500022</v>
      </c>
      <c r="Y201" s="47">
        <f>V201*(1+Input!$B$36)</f>
        <v>9752.0674190625032</v>
      </c>
      <c r="Z201" s="47">
        <f>W201*(1+Input!$B$36)</f>
        <v>9752.0674190625032</v>
      </c>
      <c r="AA201" s="47">
        <f>X201*(1+Input!$B$36)</f>
        <v>9752.0674190625032</v>
      </c>
      <c r="AB201" s="47">
        <f>Y201*(1+Input!$B$36)</f>
        <v>10239.670790015629</v>
      </c>
      <c r="AC201" s="47">
        <f>Z201*(1+Input!$B$36)</f>
        <v>10239.670790015629</v>
      </c>
      <c r="AD201" s="47">
        <f>AA201*(1+Input!$B$36)</f>
        <v>10239.670790015629</v>
      </c>
      <c r="AE201" s="47">
        <f>AB201*(1+Input!$B$36)</f>
        <v>10751.65432951641</v>
      </c>
      <c r="AF201" s="47">
        <f>AC201*(1+Input!$B$36)</f>
        <v>10751.65432951641</v>
      </c>
      <c r="AG201" s="47">
        <f>AD201*(1+Input!$B$36)</f>
        <v>10751.65432951641</v>
      </c>
      <c r="AH201" s="47">
        <f>AE201*(1+Input!$B$36)</f>
        <v>11289.237045992231</v>
      </c>
      <c r="AI201" s="47">
        <f>AF201*(1+Input!$B$36)</f>
        <v>11289.237045992231</v>
      </c>
      <c r="AJ201" s="47">
        <f>AG201*(1+Input!$B$36)</f>
        <v>11289.237045992231</v>
      </c>
      <c r="AK201" s="47" t="s">
        <v>98</v>
      </c>
    </row>
    <row r="202" spans="3:37" x14ac:dyDescent="0.25">
      <c r="E202" s="64" t="str">
        <f>Input!A292</f>
        <v>Year 14</v>
      </c>
      <c r="F202" s="57">
        <f>Input!B292</f>
        <v>1415</v>
      </c>
      <c r="J202" s="47">
        <f>$F202*Input!$B$33*Input!$B$28*Input!$B$11</f>
        <v>7641</v>
      </c>
      <c r="K202" s="47">
        <f>$F202*Input!$B$33*Input!$B$28*Input!$B$11</f>
        <v>7641</v>
      </c>
      <c r="L202" s="47">
        <f>$F202*Input!$B$33*Input!$B$28*Input!$B$11</f>
        <v>7641</v>
      </c>
      <c r="M202" s="47">
        <f>J202*(1+Input!$B$36)</f>
        <v>8023.05</v>
      </c>
      <c r="N202" s="47">
        <f>K202*(1+Input!$B$36)</f>
        <v>8023.05</v>
      </c>
      <c r="O202" s="47">
        <f>L202*(1+Input!$B$36)</f>
        <v>8023.05</v>
      </c>
      <c r="P202" s="47">
        <f>M202*(1+Input!$B$36)</f>
        <v>8424.2025000000012</v>
      </c>
      <c r="Q202" s="47">
        <f>N202*(1+Input!$B$36)</f>
        <v>8424.2025000000012</v>
      </c>
      <c r="R202" s="47">
        <f>O202*(1+Input!$B$36)</f>
        <v>8424.2025000000012</v>
      </c>
      <c r="S202" s="47">
        <f>P202*(1+Input!$B$36)</f>
        <v>8845.4126250000008</v>
      </c>
      <c r="T202" s="47">
        <f>Q202*(1+Input!$B$36)</f>
        <v>8845.4126250000008</v>
      </c>
      <c r="U202" s="47">
        <f>R202*(1+Input!$B$36)</f>
        <v>8845.4126250000008</v>
      </c>
      <c r="V202" s="47">
        <f>S202*(1+Input!$B$36)</f>
        <v>9287.6832562500022</v>
      </c>
      <c r="W202" s="47">
        <f>T202*(1+Input!$B$36)</f>
        <v>9287.6832562500022</v>
      </c>
      <c r="X202" s="47">
        <f>U202*(1+Input!$B$36)</f>
        <v>9287.6832562500022</v>
      </c>
      <c r="Y202" s="47">
        <f>V202*(1+Input!$B$36)</f>
        <v>9752.0674190625032</v>
      </c>
      <c r="Z202" s="47">
        <f>W202*(1+Input!$B$36)</f>
        <v>9752.0674190625032</v>
      </c>
      <c r="AA202" s="47">
        <f>X202*(1+Input!$B$36)</f>
        <v>9752.0674190625032</v>
      </c>
      <c r="AB202" s="47">
        <f>Y202*(1+Input!$B$36)</f>
        <v>10239.670790015629</v>
      </c>
      <c r="AC202" s="47">
        <f>Z202*(1+Input!$B$36)</f>
        <v>10239.670790015629</v>
      </c>
      <c r="AD202" s="47">
        <f>AA202*(1+Input!$B$36)</f>
        <v>10239.670790015629</v>
      </c>
      <c r="AE202" s="47">
        <f>AB202*(1+Input!$B$36)</f>
        <v>10751.65432951641</v>
      </c>
      <c r="AF202" s="47">
        <f>AC202*(1+Input!$B$36)</f>
        <v>10751.65432951641</v>
      </c>
      <c r="AG202" s="47">
        <f>AD202*(1+Input!$B$36)</f>
        <v>10751.65432951641</v>
      </c>
      <c r="AH202" s="47">
        <f>AE202*(1+Input!$B$36)</f>
        <v>11289.237045992231</v>
      </c>
      <c r="AI202" s="47">
        <f>AF202*(1+Input!$B$36)</f>
        <v>11289.237045992231</v>
      </c>
      <c r="AJ202" s="47">
        <f>AG202*(1+Input!$B$36)</f>
        <v>11289.237045992231</v>
      </c>
      <c r="AK202" s="47" t="s">
        <v>98</v>
      </c>
    </row>
    <row r="203" spans="3:37" x14ac:dyDescent="0.25">
      <c r="E203" s="64" t="s">
        <v>110</v>
      </c>
      <c r="F203" s="57"/>
      <c r="J203" s="47">
        <f>SUM(J184:J202)</f>
        <v>124038</v>
      </c>
      <c r="K203" s="47">
        <f t="shared" ref="K203:AJ203" si="8">SUM(K184:K202)</f>
        <v>124038</v>
      </c>
      <c r="L203" s="47">
        <f t="shared" si="8"/>
        <v>124038</v>
      </c>
      <c r="M203" s="47">
        <f t="shared" si="8"/>
        <v>130239.90000000004</v>
      </c>
      <c r="N203" s="47">
        <f t="shared" si="8"/>
        <v>130239.90000000004</v>
      </c>
      <c r="O203" s="47">
        <f t="shared" si="8"/>
        <v>130239.90000000004</v>
      </c>
      <c r="P203" s="47">
        <f t="shared" si="8"/>
        <v>136751.89499999999</v>
      </c>
      <c r="Q203" s="47">
        <f t="shared" si="8"/>
        <v>136751.89499999999</v>
      </c>
      <c r="R203" s="47">
        <f t="shared" si="8"/>
        <v>136751.89499999999</v>
      </c>
      <c r="S203" s="47">
        <f t="shared" si="8"/>
        <v>143589.48974999998</v>
      </c>
      <c r="T203" s="47">
        <f t="shared" si="8"/>
        <v>143589.48974999998</v>
      </c>
      <c r="U203" s="47">
        <f t="shared" si="8"/>
        <v>143589.48974999998</v>
      </c>
      <c r="V203" s="47">
        <f t="shared" si="8"/>
        <v>150768.96423750004</v>
      </c>
      <c r="W203" s="47">
        <f t="shared" si="8"/>
        <v>150768.96423750004</v>
      </c>
      <c r="X203" s="47">
        <f t="shared" si="8"/>
        <v>150768.96423750004</v>
      </c>
      <c r="Y203" s="47">
        <f t="shared" si="8"/>
        <v>158307.41244937506</v>
      </c>
      <c r="Z203" s="47">
        <f t="shared" si="8"/>
        <v>158307.41244937506</v>
      </c>
      <c r="AA203" s="47">
        <f t="shared" si="8"/>
        <v>158307.41244937506</v>
      </c>
      <c r="AB203" s="47">
        <f t="shared" si="8"/>
        <v>166222.78307184382</v>
      </c>
      <c r="AC203" s="47">
        <f t="shared" si="8"/>
        <v>166222.78307184382</v>
      </c>
      <c r="AD203" s="47">
        <f t="shared" si="8"/>
        <v>166222.78307184382</v>
      </c>
      <c r="AE203" s="47">
        <f t="shared" si="8"/>
        <v>174533.92222543596</v>
      </c>
      <c r="AF203" s="47">
        <f t="shared" si="8"/>
        <v>174533.92222543596</v>
      </c>
      <c r="AG203" s="47">
        <f t="shared" si="8"/>
        <v>174533.92222543596</v>
      </c>
      <c r="AH203" s="47">
        <f t="shared" si="8"/>
        <v>183260.61833670776</v>
      </c>
      <c r="AI203" s="47">
        <f t="shared" si="8"/>
        <v>183260.61833670776</v>
      </c>
      <c r="AJ203" s="47">
        <f t="shared" si="8"/>
        <v>183260.61833670776</v>
      </c>
      <c r="AK203" s="47" t="s">
        <v>98</v>
      </c>
    </row>
    <row r="204" spans="3:37" x14ac:dyDescent="0.25">
      <c r="E204" s="64"/>
      <c r="F204" s="57"/>
    </row>
    <row r="205" spans="3:37" x14ac:dyDescent="0.25">
      <c r="C205" s="64" t="str">
        <f>Input!A294</f>
        <v>Extra Curricular &amp; Miscillenous</v>
      </c>
      <c r="E205" s="64"/>
      <c r="F205" s="57"/>
      <c r="AK205" s="47" t="s">
        <v>98</v>
      </c>
    </row>
    <row r="206" spans="3:37" x14ac:dyDescent="0.25">
      <c r="E206" s="64" t="str">
        <f>Input!A295</f>
        <v>Creche</v>
      </c>
      <c r="F206" s="57">
        <f>Input!B295</f>
        <v>160</v>
      </c>
      <c r="J206" s="47">
        <f>$F206*Input!$B$33*Input!$B$28*Input!$B$11</f>
        <v>864</v>
      </c>
      <c r="K206" s="47">
        <f>$F206*Input!$B$33*Input!$B$28*Input!$B$11</f>
        <v>864</v>
      </c>
      <c r="L206" s="47">
        <f>$F206*Input!$B$33*Input!$B$28*Input!$B$11</f>
        <v>864</v>
      </c>
      <c r="M206" s="47">
        <f>J206*(1+Input!$B$36)</f>
        <v>907.2</v>
      </c>
      <c r="N206" s="47">
        <f>K206*(1+Input!$B$36)</f>
        <v>907.2</v>
      </c>
      <c r="O206" s="47">
        <f>L206*(1+Input!$B$36)</f>
        <v>907.2</v>
      </c>
      <c r="P206" s="47">
        <f>M206*(1+Input!$B$36)</f>
        <v>952.56000000000006</v>
      </c>
      <c r="Q206" s="47">
        <f>N206*(1+Input!$B$36)</f>
        <v>952.56000000000006</v>
      </c>
      <c r="R206" s="47">
        <f>O206*(1+Input!$B$36)</f>
        <v>952.56000000000006</v>
      </c>
      <c r="S206" s="47">
        <f>P206*(1+Input!$B$36)</f>
        <v>1000.1880000000001</v>
      </c>
      <c r="T206" s="47">
        <f>Q206*(1+Input!$B$36)</f>
        <v>1000.1880000000001</v>
      </c>
      <c r="U206" s="47">
        <f>R206*(1+Input!$B$36)</f>
        <v>1000.1880000000001</v>
      </c>
      <c r="V206" s="47">
        <f>S206*(1+Input!$B$36)</f>
        <v>1050.1974000000002</v>
      </c>
      <c r="W206" s="47">
        <f>T206*(1+Input!$B$36)</f>
        <v>1050.1974000000002</v>
      </c>
      <c r="X206" s="47">
        <f>U206*(1+Input!$B$36)</f>
        <v>1050.1974000000002</v>
      </c>
      <c r="Y206" s="47">
        <f>V206*(1+Input!$B$36)</f>
        <v>1102.7072700000003</v>
      </c>
      <c r="Z206" s="47">
        <f>W206*(1+Input!$B$36)</f>
        <v>1102.7072700000003</v>
      </c>
      <c r="AA206" s="47">
        <f>X206*(1+Input!$B$36)</f>
        <v>1102.7072700000003</v>
      </c>
      <c r="AB206" s="47">
        <f>Y206*(1+Input!$B$36)</f>
        <v>1157.8426335000004</v>
      </c>
      <c r="AC206" s="47">
        <f>Z206*(1+Input!$B$36)</f>
        <v>1157.8426335000004</v>
      </c>
      <c r="AD206" s="47">
        <f>AA206*(1+Input!$B$36)</f>
        <v>1157.8426335000004</v>
      </c>
      <c r="AE206" s="47">
        <f>AB206*(1+Input!$B$36)</f>
        <v>1215.7347651750003</v>
      </c>
      <c r="AF206" s="47">
        <f>AC206*(1+Input!$B$36)</f>
        <v>1215.7347651750003</v>
      </c>
      <c r="AG206" s="47">
        <f>AD206*(1+Input!$B$36)</f>
        <v>1215.7347651750003</v>
      </c>
      <c r="AH206" s="47">
        <f>AE206*(1+Input!$B$36)</f>
        <v>1276.5215034337505</v>
      </c>
      <c r="AI206" s="47">
        <f>AF206*(1+Input!$B$36)</f>
        <v>1276.5215034337505</v>
      </c>
      <c r="AJ206" s="47">
        <f>AG206*(1+Input!$B$36)</f>
        <v>1276.5215034337505</v>
      </c>
      <c r="AK206" s="47" t="s">
        <v>98</v>
      </c>
    </row>
    <row r="207" spans="3:37" x14ac:dyDescent="0.25">
      <c r="E207" s="64" t="str">
        <f>Input!A296</f>
        <v>Playgroup</v>
      </c>
      <c r="F207" s="57">
        <f>Input!B296</f>
        <v>160</v>
      </c>
      <c r="J207" s="47">
        <f>$F207*Input!$B$33*Input!$B$28*Input!$B$11</f>
        <v>864</v>
      </c>
      <c r="K207" s="47">
        <f>$F207*Input!$B$33*Input!$B$28*Input!$B$11</f>
        <v>864</v>
      </c>
      <c r="L207" s="47">
        <f>$F207*Input!$B$33*Input!$B$28*Input!$B$11</f>
        <v>864</v>
      </c>
      <c r="M207" s="47">
        <f>J207*(1+Input!$B$36)</f>
        <v>907.2</v>
      </c>
      <c r="N207" s="47">
        <f>K207*(1+Input!$B$36)</f>
        <v>907.2</v>
      </c>
      <c r="O207" s="47">
        <f>L207*(1+Input!$B$36)</f>
        <v>907.2</v>
      </c>
      <c r="P207" s="47">
        <f>M207*(1+Input!$B$36)</f>
        <v>952.56000000000006</v>
      </c>
      <c r="Q207" s="47">
        <f>N207*(1+Input!$B$36)</f>
        <v>952.56000000000006</v>
      </c>
      <c r="R207" s="47">
        <f>O207*(1+Input!$B$36)</f>
        <v>952.56000000000006</v>
      </c>
      <c r="S207" s="47">
        <f>P207*(1+Input!$B$36)</f>
        <v>1000.1880000000001</v>
      </c>
      <c r="T207" s="47">
        <f>Q207*(1+Input!$B$36)</f>
        <v>1000.1880000000001</v>
      </c>
      <c r="U207" s="47">
        <f>R207*(1+Input!$B$36)</f>
        <v>1000.1880000000001</v>
      </c>
      <c r="V207" s="47">
        <f>S207*(1+Input!$B$36)</f>
        <v>1050.1974000000002</v>
      </c>
      <c r="W207" s="47">
        <f>T207*(1+Input!$B$36)</f>
        <v>1050.1974000000002</v>
      </c>
      <c r="X207" s="47">
        <f>U207*(1+Input!$B$36)</f>
        <v>1050.1974000000002</v>
      </c>
      <c r="Y207" s="47">
        <f>V207*(1+Input!$B$36)</f>
        <v>1102.7072700000003</v>
      </c>
      <c r="Z207" s="47">
        <f>W207*(1+Input!$B$36)</f>
        <v>1102.7072700000003</v>
      </c>
      <c r="AA207" s="47">
        <f>X207*(1+Input!$B$36)</f>
        <v>1102.7072700000003</v>
      </c>
      <c r="AB207" s="47">
        <f>Y207*(1+Input!$B$36)</f>
        <v>1157.8426335000004</v>
      </c>
      <c r="AC207" s="47">
        <f>Z207*(1+Input!$B$36)</f>
        <v>1157.8426335000004</v>
      </c>
      <c r="AD207" s="47">
        <f>AA207*(1+Input!$B$36)</f>
        <v>1157.8426335000004</v>
      </c>
      <c r="AE207" s="47">
        <f>AB207*(1+Input!$B$36)</f>
        <v>1215.7347651750003</v>
      </c>
      <c r="AF207" s="47">
        <f>AC207*(1+Input!$B$36)</f>
        <v>1215.7347651750003</v>
      </c>
      <c r="AG207" s="47">
        <f>AD207*(1+Input!$B$36)</f>
        <v>1215.7347651750003</v>
      </c>
      <c r="AH207" s="47">
        <f>AE207*(1+Input!$B$36)</f>
        <v>1276.5215034337505</v>
      </c>
      <c r="AI207" s="47">
        <f>AF207*(1+Input!$B$36)</f>
        <v>1276.5215034337505</v>
      </c>
      <c r="AJ207" s="47">
        <f>AG207*(1+Input!$B$36)</f>
        <v>1276.5215034337505</v>
      </c>
      <c r="AK207" s="47" t="s">
        <v>98</v>
      </c>
    </row>
    <row r="208" spans="3:37" x14ac:dyDescent="0.25">
      <c r="E208" s="64" t="str">
        <f>Input!A297</f>
        <v xml:space="preserve">Nursery </v>
      </c>
      <c r="F208" s="57">
        <f>Input!B297</f>
        <v>160</v>
      </c>
      <c r="J208" s="47">
        <f>$F208*Input!$B$33*Input!$B$28*Input!$B$11</f>
        <v>864</v>
      </c>
      <c r="K208" s="47">
        <f>$F208*Input!$B$33*Input!$B$28*Input!$B$11</f>
        <v>864</v>
      </c>
      <c r="L208" s="47">
        <f>$F208*Input!$B$33*Input!$B$28*Input!$B$11</f>
        <v>864</v>
      </c>
      <c r="M208" s="47">
        <f>J208*(1+Input!$B$36)</f>
        <v>907.2</v>
      </c>
      <c r="N208" s="47">
        <f>K208*(1+Input!$B$36)</f>
        <v>907.2</v>
      </c>
      <c r="O208" s="47">
        <f>L208*(1+Input!$B$36)</f>
        <v>907.2</v>
      </c>
      <c r="P208" s="47">
        <f>M208*(1+Input!$B$36)</f>
        <v>952.56000000000006</v>
      </c>
      <c r="Q208" s="47">
        <f>N208*(1+Input!$B$36)</f>
        <v>952.56000000000006</v>
      </c>
      <c r="R208" s="47">
        <f>O208*(1+Input!$B$36)</f>
        <v>952.56000000000006</v>
      </c>
      <c r="S208" s="47">
        <f>P208*(1+Input!$B$36)</f>
        <v>1000.1880000000001</v>
      </c>
      <c r="T208" s="47">
        <f>Q208*(1+Input!$B$36)</f>
        <v>1000.1880000000001</v>
      </c>
      <c r="U208" s="47">
        <f>R208*(1+Input!$B$36)</f>
        <v>1000.1880000000001</v>
      </c>
      <c r="V208" s="47">
        <f>S208*(1+Input!$B$36)</f>
        <v>1050.1974000000002</v>
      </c>
      <c r="W208" s="47">
        <f>T208*(1+Input!$B$36)</f>
        <v>1050.1974000000002</v>
      </c>
      <c r="X208" s="47">
        <f>U208*(1+Input!$B$36)</f>
        <v>1050.1974000000002</v>
      </c>
      <c r="Y208" s="47">
        <f>V208*(1+Input!$B$36)</f>
        <v>1102.7072700000003</v>
      </c>
      <c r="Z208" s="47">
        <f>W208*(1+Input!$B$36)</f>
        <v>1102.7072700000003</v>
      </c>
      <c r="AA208" s="47">
        <f>X208*(1+Input!$B$36)</f>
        <v>1102.7072700000003</v>
      </c>
      <c r="AB208" s="47">
        <f>Y208*(1+Input!$B$36)</f>
        <v>1157.8426335000004</v>
      </c>
      <c r="AC208" s="47">
        <f>Z208*(1+Input!$B$36)</f>
        <v>1157.8426335000004</v>
      </c>
      <c r="AD208" s="47">
        <f>AA208*(1+Input!$B$36)</f>
        <v>1157.8426335000004</v>
      </c>
      <c r="AE208" s="47">
        <f>AB208*(1+Input!$B$36)</f>
        <v>1215.7347651750003</v>
      </c>
      <c r="AF208" s="47">
        <f>AC208*(1+Input!$B$36)</f>
        <v>1215.7347651750003</v>
      </c>
      <c r="AG208" s="47">
        <f>AD208*(1+Input!$B$36)</f>
        <v>1215.7347651750003</v>
      </c>
      <c r="AH208" s="47">
        <f>AE208*(1+Input!$B$36)</f>
        <v>1276.5215034337505</v>
      </c>
      <c r="AI208" s="47">
        <f>AF208*(1+Input!$B$36)</f>
        <v>1276.5215034337505</v>
      </c>
      <c r="AJ208" s="47">
        <f>AG208*(1+Input!$B$36)</f>
        <v>1276.5215034337505</v>
      </c>
      <c r="AK208" s="47" t="s">
        <v>98</v>
      </c>
    </row>
    <row r="209" spans="5:37" x14ac:dyDescent="0.25">
      <c r="E209" s="64" t="str">
        <f>Input!A298</f>
        <v xml:space="preserve">Reception 1 </v>
      </c>
      <c r="F209" s="57">
        <f>Input!B298</f>
        <v>160</v>
      </c>
      <c r="J209" s="47">
        <f>$F209*Input!$B$33*Input!$B$28*Input!$B$11</f>
        <v>864</v>
      </c>
      <c r="K209" s="47">
        <f>$F209*Input!$B$33*Input!$B$28*Input!$B$11</f>
        <v>864</v>
      </c>
      <c r="L209" s="47">
        <f>$F209*Input!$B$33*Input!$B$28*Input!$B$11</f>
        <v>864</v>
      </c>
      <c r="M209" s="47">
        <f>J209*(1+Input!$B$36)</f>
        <v>907.2</v>
      </c>
      <c r="N209" s="47">
        <f>K209*(1+Input!$B$36)</f>
        <v>907.2</v>
      </c>
      <c r="O209" s="47">
        <f>L209*(1+Input!$B$36)</f>
        <v>907.2</v>
      </c>
      <c r="P209" s="47">
        <f>M209*(1+Input!$B$36)</f>
        <v>952.56000000000006</v>
      </c>
      <c r="Q209" s="47">
        <f>N209*(1+Input!$B$36)</f>
        <v>952.56000000000006</v>
      </c>
      <c r="R209" s="47">
        <f>O209*(1+Input!$B$36)</f>
        <v>952.56000000000006</v>
      </c>
      <c r="S209" s="47">
        <f>P209*(1+Input!$B$36)</f>
        <v>1000.1880000000001</v>
      </c>
      <c r="T209" s="47">
        <f>Q209*(1+Input!$B$36)</f>
        <v>1000.1880000000001</v>
      </c>
      <c r="U209" s="47">
        <f>R209*(1+Input!$B$36)</f>
        <v>1000.1880000000001</v>
      </c>
      <c r="V209" s="47">
        <f>S209*(1+Input!$B$36)</f>
        <v>1050.1974000000002</v>
      </c>
      <c r="W209" s="47">
        <f>T209*(1+Input!$B$36)</f>
        <v>1050.1974000000002</v>
      </c>
      <c r="X209" s="47">
        <f>U209*(1+Input!$B$36)</f>
        <v>1050.1974000000002</v>
      </c>
      <c r="Y209" s="47">
        <f>V209*(1+Input!$B$36)</f>
        <v>1102.7072700000003</v>
      </c>
      <c r="Z209" s="47">
        <f>W209*(1+Input!$B$36)</f>
        <v>1102.7072700000003</v>
      </c>
      <c r="AA209" s="47">
        <f>X209*(1+Input!$B$36)</f>
        <v>1102.7072700000003</v>
      </c>
      <c r="AB209" s="47">
        <f>Y209*(1+Input!$B$36)</f>
        <v>1157.8426335000004</v>
      </c>
      <c r="AC209" s="47">
        <f>Z209*(1+Input!$B$36)</f>
        <v>1157.8426335000004</v>
      </c>
      <c r="AD209" s="47">
        <f>AA209*(1+Input!$B$36)</f>
        <v>1157.8426335000004</v>
      </c>
      <c r="AE209" s="47">
        <f>AB209*(1+Input!$B$36)</f>
        <v>1215.7347651750003</v>
      </c>
      <c r="AF209" s="47">
        <f>AC209*(1+Input!$B$36)</f>
        <v>1215.7347651750003</v>
      </c>
      <c r="AG209" s="47">
        <f>AD209*(1+Input!$B$36)</f>
        <v>1215.7347651750003</v>
      </c>
      <c r="AH209" s="47">
        <f>AE209*(1+Input!$B$36)</f>
        <v>1276.5215034337505</v>
      </c>
      <c r="AI209" s="47">
        <f>AF209*(1+Input!$B$36)</f>
        <v>1276.5215034337505</v>
      </c>
      <c r="AJ209" s="47">
        <f>AG209*(1+Input!$B$36)</f>
        <v>1276.5215034337505</v>
      </c>
      <c r="AK209" s="47" t="s">
        <v>98</v>
      </c>
    </row>
    <row r="210" spans="5:37" x14ac:dyDescent="0.25">
      <c r="E210" s="64" t="str">
        <f>Input!A299</f>
        <v xml:space="preserve">Reception 2 </v>
      </c>
      <c r="F210" s="57">
        <f>Input!B299</f>
        <v>160</v>
      </c>
      <c r="J210" s="47">
        <f>$F210*Input!$B$33*Input!$B$28*Input!$B$11</f>
        <v>864</v>
      </c>
      <c r="K210" s="47">
        <f>$F210*Input!$B$33*Input!$B$28*Input!$B$11</f>
        <v>864</v>
      </c>
      <c r="L210" s="47">
        <f>$F210*Input!$B$33*Input!$B$28*Input!$B$11</f>
        <v>864</v>
      </c>
      <c r="M210" s="47">
        <f>J210*(1+Input!$B$36)</f>
        <v>907.2</v>
      </c>
      <c r="N210" s="47">
        <f>K210*(1+Input!$B$36)</f>
        <v>907.2</v>
      </c>
      <c r="O210" s="47">
        <f>L210*(1+Input!$B$36)</f>
        <v>907.2</v>
      </c>
      <c r="P210" s="47">
        <f>M210*(1+Input!$B$36)</f>
        <v>952.56000000000006</v>
      </c>
      <c r="Q210" s="47">
        <f>N210*(1+Input!$B$36)</f>
        <v>952.56000000000006</v>
      </c>
      <c r="R210" s="47">
        <f>O210*(1+Input!$B$36)</f>
        <v>952.56000000000006</v>
      </c>
      <c r="S210" s="47">
        <f>P210*(1+Input!$B$36)</f>
        <v>1000.1880000000001</v>
      </c>
      <c r="T210" s="47">
        <f>Q210*(1+Input!$B$36)</f>
        <v>1000.1880000000001</v>
      </c>
      <c r="U210" s="47">
        <f>R210*(1+Input!$B$36)</f>
        <v>1000.1880000000001</v>
      </c>
      <c r="V210" s="47">
        <f>S210*(1+Input!$B$36)</f>
        <v>1050.1974000000002</v>
      </c>
      <c r="W210" s="47">
        <f>T210*(1+Input!$B$36)</f>
        <v>1050.1974000000002</v>
      </c>
      <c r="X210" s="47">
        <f>U210*(1+Input!$B$36)</f>
        <v>1050.1974000000002</v>
      </c>
      <c r="Y210" s="47">
        <f>V210*(1+Input!$B$36)</f>
        <v>1102.7072700000003</v>
      </c>
      <c r="Z210" s="47">
        <f>W210*(1+Input!$B$36)</f>
        <v>1102.7072700000003</v>
      </c>
      <c r="AA210" s="47">
        <f>X210*(1+Input!$B$36)</f>
        <v>1102.7072700000003</v>
      </c>
      <c r="AB210" s="47">
        <f>Y210*(1+Input!$B$36)</f>
        <v>1157.8426335000004</v>
      </c>
      <c r="AC210" s="47">
        <f>Z210*(1+Input!$B$36)</f>
        <v>1157.8426335000004</v>
      </c>
      <c r="AD210" s="47">
        <f>AA210*(1+Input!$B$36)</f>
        <v>1157.8426335000004</v>
      </c>
      <c r="AE210" s="47">
        <f>AB210*(1+Input!$B$36)</f>
        <v>1215.7347651750003</v>
      </c>
      <c r="AF210" s="47">
        <f>AC210*(1+Input!$B$36)</f>
        <v>1215.7347651750003</v>
      </c>
      <c r="AG210" s="47">
        <f>AD210*(1+Input!$B$36)</f>
        <v>1215.7347651750003</v>
      </c>
      <c r="AH210" s="47">
        <f>AE210*(1+Input!$B$36)</f>
        <v>1276.5215034337505</v>
      </c>
      <c r="AI210" s="47">
        <f>AF210*(1+Input!$B$36)</f>
        <v>1276.5215034337505</v>
      </c>
      <c r="AJ210" s="47">
        <f>AG210*(1+Input!$B$36)</f>
        <v>1276.5215034337505</v>
      </c>
      <c r="AK210" s="47" t="s">
        <v>98</v>
      </c>
    </row>
    <row r="211" spans="5:37" x14ac:dyDescent="0.25">
      <c r="E211" s="64" t="str">
        <f>Input!A300</f>
        <v>Year 1</v>
      </c>
      <c r="F211" s="57">
        <f>Input!B300</f>
        <v>160</v>
      </c>
      <c r="J211" s="47">
        <f>$F211*Input!$B$33*Input!$B$28*Input!$B$11</f>
        <v>864</v>
      </c>
      <c r="K211" s="47">
        <f>$F211*Input!$B$33*Input!$B$28*Input!$B$11</f>
        <v>864</v>
      </c>
      <c r="L211" s="47">
        <f>$F211*Input!$B$33*Input!$B$28*Input!$B$11</f>
        <v>864</v>
      </c>
      <c r="M211" s="47">
        <f>J211*(1+Input!$B$36)</f>
        <v>907.2</v>
      </c>
      <c r="N211" s="47">
        <f>K211*(1+Input!$B$36)</f>
        <v>907.2</v>
      </c>
      <c r="O211" s="47">
        <f>L211*(1+Input!$B$36)</f>
        <v>907.2</v>
      </c>
      <c r="P211" s="47">
        <f>M211*(1+Input!$B$36)</f>
        <v>952.56000000000006</v>
      </c>
      <c r="Q211" s="47">
        <f>N211*(1+Input!$B$36)</f>
        <v>952.56000000000006</v>
      </c>
      <c r="R211" s="47">
        <f>O211*(1+Input!$B$36)</f>
        <v>952.56000000000006</v>
      </c>
      <c r="S211" s="47">
        <f>P211*(1+Input!$B$36)</f>
        <v>1000.1880000000001</v>
      </c>
      <c r="T211" s="47">
        <f>Q211*(1+Input!$B$36)</f>
        <v>1000.1880000000001</v>
      </c>
      <c r="U211" s="47">
        <f>R211*(1+Input!$B$36)</f>
        <v>1000.1880000000001</v>
      </c>
      <c r="V211" s="47">
        <f>S211*(1+Input!$B$36)</f>
        <v>1050.1974000000002</v>
      </c>
      <c r="W211" s="47">
        <f>T211*(1+Input!$B$36)</f>
        <v>1050.1974000000002</v>
      </c>
      <c r="X211" s="47">
        <f>U211*(1+Input!$B$36)</f>
        <v>1050.1974000000002</v>
      </c>
      <c r="Y211" s="47">
        <f>V211*(1+Input!$B$36)</f>
        <v>1102.7072700000003</v>
      </c>
      <c r="Z211" s="47">
        <f>W211*(1+Input!$B$36)</f>
        <v>1102.7072700000003</v>
      </c>
      <c r="AA211" s="47">
        <f>X211*(1+Input!$B$36)</f>
        <v>1102.7072700000003</v>
      </c>
      <c r="AB211" s="47">
        <f>Y211*(1+Input!$B$36)</f>
        <v>1157.8426335000004</v>
      </c>
      <c r="AC211" s="47">
        <f>Z211*(1+Input!$B$36)</f>
        <v>1157.8426335000004</v>
      </c>
      <c r="AD211" s="47">
        <f>AA211*(1+Input!$B$36)</f>
        <v>1157.8426335000004</v>
      </c>
      <c r="AE211" s="47">
        <f>AB211*(1+Input!$B$36)</f>
        <v>1215.7347651750003</v>
      </c>
      <c r="AF211" s="47">
        <f>AC211*(1+Input!$B$36)</f>
        <v>1215.7347651750003</v>
      </c>
      <c r="AG211" s="47">
        <f>AD211*(1+Input!$B$36)</f>
        <v>1215.7347651750003</v>
      </c>
      <c r="AH211" s="47">
        <f>AE211*(1+Input!$B$36)</f>
        <v>1276.5215034337505</v>
      </c>
      <c r="AI211" s="47">
        <f>AF211*(1+Input!$B$36)</f>
        <v>1276.5215034337505</v>
      </c>
      <c r="AJ211" s="47">
        <f>AG211*(1+Input!$B$36)</f>
        <v>1276.5215034337505</v>
      </c>
      <c r="AK211" s="47" t="s">
        <v>98</v>
      </c>
    </row>
    <row r="212" spans="5:37" x14ac:dyDescent="0.25">
      <c r="E212" s="64" t="str">
        <f>Input!A301</f>
        <v>Year 2</v>
      </c>
      <c r="F212" s="57">
        <f>Input!B301</f>
        <v>160</v>
      </c>
      <c r="J212" s="47">
        <f>$F212*Input!$B$33*Input!$B$28*Input!$B$11</f>
        <v>864</v>
      </c>
      <c r="K212" s="47">
        <f>$F212*Input!$B$33*Input!$B$28*Input!$B$11</f>
        <v>864</v>
      </c>
      <c r="L212" s="47">
        <f>$F212*Input!$B$33*Input!$B$28*Input!$B$11</f>
        <v>864</v>
      </c>
      <c r="M212" s="47">
        <f>J212*(1+Input!$B$36)</f>
        <v>907.2</v>
      </c>
      <c r="N212" s="47">
        <f>K212*(1+Input!$B$36)</f>
        <v>907.2</v>
      </c>
      <c r="O212" s="47">
        <f>L212*(1+Input!$B$36)</f>
        <v>907.2</v>
      </c>
      <c r="P212" s="47">
        <f>M212*(1+Input!$B$36)</f>
        <v>952.56000000000006</v>
      </c>
      <c r="Q212" s="47">
        <f>N212*(1+Input!$B$36)</f>
        <v>952.56000000000006</v>
      </c>
      <c r="R212" s="47">
        <f>O212*(1+Input!$B$36)</f>
        <v>952.56000000000006</v>
      </c>
      <c r="S212" s="47">
        <f>P212*(1+Input!$B$36)</f>
        <v>1000.1880000000001</v>
      </c>
      <c r="T212" s="47">
        <f>Q212*(1+Input!$B$36)</f>
        <v>1000.1880000000001</v>
      </c>
      <c r="U212" s="47">
        <f>R212*(1+Input!$B$36)</f>
        <v>1000.1880000000001</v>
      </c>
      <c r="V212" s="47">
        <f>S212*(1+Input!$B$36)</f>
        <v>1050.1974000000002</v>
      </c>
      <c r="W212" s="47">
        <f>T212*(1+Input!$B$36)</f>
        <v>1050.1974000000002</v>
      </c>
      <c r="X212" s="47">
        <f>U212*(1+Input!$B$36)</f>
        <v>1050.1974000000002</v>
      </c>
      <c r="Y212" s="47">
        <f>V212*(1+Input!$B$36)</f>
        <v>1102.7072700000003</v>
      </c>
      <c r="Z212" s="47">
        <f>W212*(1+Input!$B$36)</f>
        <v>1102.7072700000003</v>
      </c>
      <c r="AA212" s="47">
        <f>X212*(1+Input!$B$36)</f>
        <v>1102.7072700000003</v>
      </c>
      <c r="AB212" s="47">
        <f>Y212*(1+Input!$B$36)</f>
        <v>1157.8426335000004</v>
      </c>
      <c r="AC212" s="47">
        <f>Z212*(1+Input!$B$36)</f>
        <v>1157.8426335000004</v>
      </c>
      <c r="AD212" s="47">
        <f>AA212*(1+Input!$B$36)</f>
        <v>1157.8426335000004</v>
      </c>
      <c r="AE212" s="47">
        <f>AB212*(1+Input!$B$36)</f>
        <v>1215.7347651750003</v>
      </c>
      <c r="AF212" s="47">
        <f>AC212*(1+Input!$B$36)</f>
        <v>1215.7347651750003</v>
      </c>
      <c r="AG212" s="47">
        <f>AD212*(1+Input!$B$36)</f>
        <v>1215.7347651750003</v>
      </c>
      <c r="AH212" s="47">
        <f>AE212*(1+Input!$B$36)</f>
        <v>1276.5215034337505</v>
      </c>
      <c r="AI212" s="47">
        <f>AF212*(1+Input!$B$36)</f>
        <v>1276.5215034337505</v>
      </c>
      <c r="AJ212" s="47">
        <f>AG212*(1+Input!$B$36)</f>
        <v>1276.5215034337505</v>
      </c>
      <c r="AK212" s="47" t="s">
        <v>98</v>
      </c>
    </row>
    <row r="213" spans="5:37" x14ac:dyDescent="0.25">
      <c r="E213" s="64" t="str">
        <f>Input!A302</f>
        <v>Year 3</v>
      </c>
      <c r="F213" s="57">
        <f>Input!B302</f>
        <v>160</v>
      </c>
      <c r="J213" s="47">
        <f>$F213*Input!$B$33*Input!$B$28*Input!$B$11</f>
        <v>864</v>
      </c>
      <c r="K213" s="47">
        <f>$F213*Input!$B$33*Input!$B$28*Input!$B$11</f>
        <v>864</v>
      </c>
      <c r="L213" s="47">
        <f>$F213*Input!$B$33*Input!$B$28*Input!$B$11</f>
        <v>864</v>
      </c>
      <c r="M213" s="47">
        <f>J213*(1+Input!$B$36)</f>
        <v>907.2</v>
      </c>
      <c r="N213" s="47">
        <f>K213*(1+Input!$B$36)</f>
        <v>907.2</v>
      </c>
      <c r="O213" s="47">
        <f>L213*(1+Input!$B$36)</f>
        <v>907.2</v>
      </c>
      <c r="P213" s="47">
        <f>M213*(1+Input!$B$36)</f>
        <v>952.56000000000006</v>
      </c>
      <c r="Q213" s="47">
        <f>N213*(1+Input!$B$36)</f>
        <v>952.56000000000006</v>
      </c>
      <c r="R213" s="47">
        <f>O213*(1+Input!$B$36)</f>
        <v>952.56000000000006</v>
      </c>
      <c r="S213" s="47">
        <f>P213*(1+Input!$B$36)</f>
        <v>1000.1880000000001</v>
      </c>
      <c r="T213" s="47">
        <f>Q213*(1+Input!$B$36)</f>
        <v>1000.1880000000001</v>
      </c>
      <c r="U213" s="47">
        <f>R213*(1+Input!$B$36)</f>
        <v>1000.1880000000001</v>
      </c>
      <c r="V213" s="47">
        <f>S213*(1+Input!$B$36)</f>
        <v>1050.1974000000002</v>
      </c>
      <c r="W213" s="47">
        <f>T213*(1+Input!$B$36)</f>
        <v>1050.1974000000002</v>
      </c>
      <c r="X213" s="47">
        <f>U213*(1+Input!$B$36)</f>
        <v>1050.1974000000002</v>
      </c>
      <c r="Y213" s="47">
        <f>V213*(1+Input!$B$36)</f>
        <v>1102.7072700000003</v>
      </c>
      <c r="Z213" s="47">
        <f>W213*(1+Input!$B$36)</f>
        <v>1102.7072700000003</v>
      </c>
      <c r="AA213" s="47">
        <f>X213*(1+Input!$B$36)</f>
        <v>1102.7072700000003</v>
      </c>
      <c r="AB213" s="47">
        <f>Y213*(1+Input!$B$36)</f>
        <v>1157.8426335000004</v>
      </c>
      <c r="AC213" s="47">
        <f>Z213*(1+Input!$B$36)</f>
        <v>1157.8426335000004</v>
      </c>
      <c r="AD213" s="47">
        <f>AA213*(1+Input!$B$36)</f>
        <v>1157.8426335000004</v>
      </c>
      <c r="AE213" s="47">
        <f>AB213*(1+Input!$B$36)</f>
        <v>1215.7347651750003</v>
      </c>
      <c r="AF213" s="47">
        <f>AC213*(1+Input!$B$36)</f>
        <v>1215.7347651750003</v>
      </c>
      <c r="AG213" s="47">
        <f>AD213*(1+Input!$B$36)</f>
        <v>1215.7347651750003</v>
      </c>
      <c r="AH213" s="47">
        <f>AE213*(1+Input!$B$36)</f>
        <v>1276.5215034337505</v>
      </c>
      <c r="AI213" s="47">
        <f>AF213*(1+Input!$B$36)</f>
        <v>1276.5215034337505</v>
      </c>
      <c r="AJ213" s="47">
        <f>AG213*(1+Input!$B$36)</f>
        <v>1276.5215034337505</v>
      </c>
      <c r="AK213" s="47" t="s">
        <v>98</v>
      </c>
    </row>
    <row r="214" spans="5:37" x14ac:dyDescent="0.25">
      <c r="E214" s="64" t="str">
        <f>Input!A303</f>
        <v>Year 4</v>
      </c>
      <c r="F214" s="57">
        <f>Input!B303</f>
        <v>160</v>
      </c>
      <c r="J214" s="47">
        <f>$F214*Input!$B$33*Input!$B$28*Input!$B$11</f>
        <v>864</v>
      </c>
      <c r="K214" s="47">
        <f>$F214*Input!$B$33*Input!$B$28*Input!$B$11</f>
        <v>864</v>
      </c>
      <c r="L214" s="47">
        <f>$F214*Input!$B$33*Input!$B$28*Input!$B$11</f>
        <v>864</v>
      </c>
      <c r="M214" s="47">
        <f>J214*(1+Input!$B$36)</f>
        <v>907.2</v>
      </c>
      <c r="N214" s="47">
        <f>K214*(1+Input!$B$36)</f>
        <v>907.2</v>
      </c>
      <c r="O214" s="47">
        <f>L214*(1+Input!$B$36)</f>
        <v>907.2</v>
      </c>
      <c r="P214" s="47">
        <f>M214*(1+Input!$B$36)</f>
        <v>952.56000000000006</v>
      </c>
      <c r="Q214" s="47">
        <f>N214*(1+Input!$B$36)</f>
        <v>952.56000000000006</v>
      </c>
      <c r="R214" s="47">
        <f>O214*(1+Input!$B$36)</f>
        <v>952.56000000000006</v>
      </c>
      <c r="S214" s="47">
        <f>P214*(1+Input!$B$36)</f>
        <v>1000.1880000000001</v>
      </c>
      <c r="T214" s="47">
        <f>Q214*(1+Input!$B$36)</f>
        <v>1000.1880000000001</v>
      </c>
      <c r="U214" s="47">
        <f>R214*(1+Input!$B$36)</f>
        <v>1000.1880000000001</v>
      </c>
      <c r="V214" s="47">
        <f>S214*(1+Input!$B$36)</f>
        <v>1050.1974000000002</v>
      </c>
      <c r="W214" s="47">
        <f>T214*(1+Input!$B$36)</f>
        <v>1050.1974000000002</v>
      </c>
      <c r="X214" s="47">
        <f>U214*(1+Input!$B$36)</f>
        <v>1050.1974000000002</v>
      </c>
      <c r="Y214" s="47">
        <f>V214*(1+Input!$B$36)</f>
        <v>1102.7072700000003</v>
      </c>
      <c r="Z214" s="47">
        <f>W214*(1+Input!$B$36)</f>
        <v>1102.7072700000003</v>
      </c>
      <c r="AA214" s="47">
        <f>X214*(1+Input!$B$36)</f>
        <v>1102.7072700000003</v>
      </c>
      <c r="AB214" s="47">
        <f>Y214*(1+Input!$B$36)</f>
        <v>1157.8426335000004</v>
      </c>
      <c r="AC214" s="47">
        <f>Z214*(1+Input!$B$36)</f>
        <v>1157.8426335000004</v>
      </c>
      <c r="AD214" s="47">
        <f>AA214*(1+Input!$B$36)</f>
        <v>1157.8426335000004</v>
      </c>
      <c r="AE214" s="47">
        <f>AB214*(1+Input!$B$36)</f>
        <v>1215.7347651750003</v>
      </c>
      <c r="AF214" s="47">
        <f>AC214*(1+Input!$B$36)</f>
        <v>1215.7347651750003</v>
      </c>
      <c r="AG214" s="47">
        <f>AD214*(1+Input!$B$36)</f>
        <v>1215.7347651750003</v>
      </c>
      <c r="AH214" s="47">
        <f>AE214*(1+Input!$B$36)</f>
        <v>1276.5215034337505</v>
      </c>
      <c r="AI214" s="47">
        <f>AF214*(1+Input!$B$36)</f>
        <v>1276.5215034337505</v>
      </c>
      <c r="AJ214" s="47">
        <f>AG214*(1+Input!$B$36)</f>
        <v>1276.5215034337505</v>
      </c>
      <c r="AK214" s="47" t="s">
        <v>98</v>
      </c>
    </row>
    <row r="215" spans="5:37" x14ac:dyDescent="0.25">
      <c r="E215" s="64" t="str">
        <f>Input!A304</f>
        <v>Year 5</v>
      </c>
      <c r="F215" s="57">
        <f>Input!B304</f>
        <v>160</v>
      </c>
      <c r="J215" s="47">
        <f>$F215*Input!$B$33*Input!$B$28*Input!$B$11</f>
        <v>864</v>
      </c>
      <c r="K215" s="47">
        <f>$F215*Input!$B$33*Input!$B$28*Input!$B$11</f>
        <v>864</v>
      </c>
      <c r="L215" s="47">
        <f>$F215*Input!$B$33*Input!$B$28*Input!$B$11</f>
        <v>864</v>
      </c>
      <c r="M215" s="47">
        <f>J215*(1+Input!$B$36)</f>
        <v>907.2</v>
      </c>
      <c r="N215" s="47">
        <f>K215*(1+Input!$B$36)</f>
        <v>907.2</v>
      </c>
      <c r="O215" s="47">
        <f>L215*(1+Input!$B$36)</f>
        <v>907.2</v>
      </c>
      <c r="P215" s="47">
        <f>M215*(1+Input!$B$36)</f>
        <v>952.56000000000006</v>
      </c>
      <c r="Q215" s="47">
        <f>N215*(1+Input!$B$36)</f>
        <v>952.56000000000006</v>
      </c>
      <c r="R215" s="47">
        <f>O215*(1+Input!$B$36)</f>
        <v>952.56000000000006</v>
      </c>
      <c r="S215" s="47">
        <f>P215*(1+Input!$B$36)</f>
        <v>1000.1880000000001</v>
      </c>
      <c r="T215" s="47">
        <f>Q215*(1+Input!$B$36)</f>
        <v>1000.1880000000001</v>
      </c>
      <c r="U215" s="47">
        <f>R215*(1+Input!$B$36)</f>
        <v>1000.1880000000001</v>
      </c>
      <c r="V215" s="47">
        <f>S215*(1+Input!$B$36)</f>
        <v>1050.1974000000002</v>
      </c>
      <c r="W215" s="47">
        <f>T215*(1+Input!$B$36)</f>
        <v>1050.1974000000002</v>
      </c>
      <c r="X215" s="47">
        <f>U215*(1+Input!$B$36)</f>
        <v>1050.1974000000002</v>
      </c>
      <c r="Y215" s="47">
        <f>V215*(1+Input!$B$36)</f>
        <v>1102.7072700000003</v>
      </c>
      <c r="Z215" s="47">
        <f>W215*(1+Input!$B$36)</f>
        <v>1102.7072700000003</v>
      </c>
      <c r="AA215" s="47">
        <f>X215*(1+Input!$B$36)</f>
        <v>1102.7072700000003</v>
      </c>
      <c r="AB215" s="47">
        <f>Y215*(1+Input!$B$36)</f>
        <v>1157.8426335000004</v>
      </c>
      <c r="AC215" s="47">
        <f>Z215*(1+Input!$B$36)</f>
        <v>1157.8426335000004</v>
      </c>
      <c r="AD215" s="47">
        <f>AA215*(1+Input!$B$36)</f>
        <v>1157.8426335000004</v>
      </c>
      <c r="AE215" s="47">
        <f>AB215*(1+Input!$B$36)</f>
        <v>1215.7347651750003</v>
      </c>
      <c r="AF215" s="47">
        <f>AC215*(1+Input!$B$36)</f>
        <v>1215.7347651750003</v>
      </c>
      <c r="AG215" s="47">
        <f>AD215*(1+Input!$B$36)</f>
        <v>1215.7347651750003</v>
      </c>
      <c r="AH215" s="47">
        <f>AE215*(1+Input!$B$36)</f>
        <v>1276.5215034337505</v>
      </c>
      <c r="AI215" s="47">
        <f>AF215*(1+Input!$B$36)</f>
        <v>1276.5215034337505</v>
      </c>
      <c r="AJ215" s="47">
        <f>AG215*(1+Input!$B$36)</f>
        <v>1276.5215034337505</v>
      </c>
      <c r="AK215" s="47" t="s">
        <v>98</v>
      </c>
    </row>
    <row r="216" spans="5:37" x14ac:dyDescent="0.25">
      <c r="E216" s="64" t="str">
        <f>Input!A305</f>
        <v>Year 6</v>
      </c>
      <c r="F216" s="57">
        <f>Input!B305</f>
        <v>160</v>
      </c>
      <c r="J216" s="47">
        <f>$F216*Input!$B$33*Input!$B$28*Input!$B$11</f>
        <v>864</v>
      </c>
      <c r="K216" s="47">
        <f>$F216*Input!$B$33*Input!$B$28*Input!$B$11</f>
        <v>864</v>
      </c>
      <c r="L216" s="47">
        <f>$F216*Input!$B$33*Input!$B$28*Input!$B$11</f>
        <v>864</v>
      </c>
      <c r="M216" s="47">
        <f>J216*(1+Input!$B$36)</f>
        <v>907.2</v>
      </c>
      <c r="N216" s="47">
        <f>K216*(1+Input!$B$36)</f>
        <v>907.2</v>
      </c>
      <c r="O216" s="47">
        <f>L216*(1+Input!$B$36)</f>
        <v>907.2</v>
      </c>
      <c r="P216" s="47">
        <f>M216*(1+Input!$B$36)</f>
        <v>952.56000000000006</v>
      </c>
      <c r="Q216" s="47">
        <f>N216*(1+Input!$B$36)</f>
        <v>952.56000000000006</v>
      </c>
      <c r="R216" s="47">
        <f>O216*(1+Input!$B$36)</f>
        <v>952.56000000000006</v>
      </c>
      <c r="S216" s="47">
        <f>P216*(1+Input!$B$36)</f>
        <v>1000.1880000000001</v>
      </c>
      <c r="T216" s="47">
        <f>Q216*(1+Input!$B$36)</f>
        <v>1000.1880000000001</v>
      </c>
      <c r="U216" s="47">
        <f>R216*(1+Input!$B$36)</f>
        <v>1000.1880000000001</v>
      </c>
      <c r="V216" s="47">
        <f>S216*(1+Input!$B$36)</f>
        <v>1050.1974000000002</v>
      </c>
      <c r="W216" s="47">
        <f>T216*(1+Input!$B$36)</f>
        <v>1050.1974000000002</v>
      </c>
      <c r="X216" s="47">
        <f>U216*(1+Input!$B$36)</f>
        <v>1050.1974000000002</v>
      </c>
      <c r="Y216" s="47">
        <f>V216*(1+Input!$B$36)</f>
        <v>1102.7072700000003</v>
      </c>
      <c r="Z216" s="47">
        <f>W216*(1+Input!$B$36)</f>
        <v>1102.7072700000003</v>
      </c>
      <c r="AA216" s="47">
        <f>X216*(1+Input!$B$36)</f>
        <v>1102.7072700000003</v>
      </c>
      <c r="AB216" s="47">
        <f>Y216*(1+Input!$B$36)</f>
        <v>1157.8426335000004</v>
      </c>
      <c r="AC216" s="47">
        <f>Z216*(1+Input!$B$36)</f>
        <v>1157.8426335000004</v>
      </c>
      <c r="AD216" s="47">
        <f>AA216*(1+Input!$B$36)</f>
        <v>1157.8426335000004</v>
      </c>
      <c r="AE216" s="47">
        <f>AB216*(1+Input!$B$36)</f>
        <v>1215.7347651750003</v>
      </c>
      <c r="AF216" s="47">
        <f>AC216*(1+Input!$B$36)</f>
        <v>1215.7347651750003</v>
      </c>
      <c r="AG216" s="47">
        <f>AD216*(1+Input!$B$36)</f>
        <v>1215.7347651750003</v>
      </c>
      <c r="AH216" s="47">
        <f>AE216*(1+Input!$B$36)</f>
        <v>1276.5215034337505</v>
      </c>
      <c r="AI216" s="47">
        <f>AF216*(1+Input!$B$36)</f>
        <v>1276.5215034337505</v>
      </c>
      <c r="AJ216" s="47">
        <f>AG216*(1+Input!$B$36)</f>
        <v>1276.5215034337505</v>
      </c>
      <c r="AK216" s="47" t="s">
        <v>98</v>
      </c>
    </row>
    <row r="217" spans="5:37" x14ac:dyDescent="0.25">
      <c r="E217" s="64" t="str">
        <f>Input!A306</f>
        <v>Year 7</v>
      </c>
      <c r="F217" s="57">
        <f>Input!B306</f>
        <v>160</v>
      </c>
      <c r="J217" s="47">
        <f>$F217*Input!$B$33*Input!$B$28*Input!$B$11</f>
        <v>864</v>
      </c>
      <c r="K217" s="47">
        <f>$F217*Input!$B$33*Input!$B$28*Input!$B$11</f>
        <v>864</v>
      </c>
      <c r="L217" s="47">
        <f>$F217*Input!$B$33*Input!$B$28*Input!$B$11</f>
        <v>864</v>
      </c>
      <c r="M217" s="47">
        <f>J217*(1+Input!$B$36)</f>
        <v>907.2</v>
      </c>
      <c r="N217" s="47">
        <f>K217*(1+Input!$B$36)</f>
        <v>907.2</v>
      </c>
      <c r="O217" s="47">
        <f>L217*(1+Input!$B$36)</f>
        <v>907.2</v>
      </c>
      <c r="P217" s="47">
        <f>M217*(1+Input!$B$36)</f>
        <v>952.56000000000006</v>
      </c>
      <c r="Q217" s="47">
        <f>N217*(1+Input!$B$36)</f>
        <v>952.56000000000006</v>
      </c>
      <c r="R217" s="47">
        <f>O217*(1+Input!$B$36)</f>
        <v>952.56000000000006</v>
      </c>
      <c r="S217" s="47">
        <f>P217*(1+Input!$B$36)</f>
        <v>1000.1880000000001</v>
      </c>
      <c r="T217" s="47">
        <f>Q217*(1+Input!$B$36)</f>
        <v>1000.1880000000001</v>
      </c>
      <c r="U217" s="47">
        <f>R217*(1+Input!$B$36)</f>
        <v>1000.1880000000001</v>
      </c>
      <c r="V217" s="47">
        <f>S217*(1+Input!$B$36)</f>
        <v>1050.1974000000002</v>
      </c>
      <c r="W217" s="47">
        <f>T217*(1+Input!$B$36)</f>
        <v>1050.1974000000002</v>
      </c>
      <c r="X217" s="47">
        <f>U217*(1+Input!$B$36)</f>
        <v>1050.1974000000002</v>
      </c>
      <c r="Y217" s="47">
        <f>V217*(1+Input!$B$36)</f>
        <v>1102.7072700000003</v>
      </c>
      <c r="Z217" s="47">
        <f>W217*(1+Input!$B$36)</f>
        <v>1102.7072700000003</v>
      </c>
      <c r="AA217" s="47">
        <f>X217*(1+Input!$B$36)</f>
        <v>1102.7072700000003</v>
      </c>
      <c r="AB217" s="47">
        <f>Y217*(1+Input!$B$36)</f>
        <v>1157.8426335000004</v>
      </c>
      <c r="AC217" s="47">
        <f>Z217*(1+Input!$B$36)</f>
        <v>1157.8426335000004</v>
      </c>
      <c r="AD217" s="47">
        <f>AA217*(1+Input!$B$36)</f>
        <v>1157.8426335000004</v>
      </c>
      <c r="AE217" s="47">
        <f>AB217*(1+Input!$B$36)</f>
        <v>1215.7347651750003</v>
      </c>
      <c r="AF217" s="47">
        <f>AC217*(1+Input!$B$36)</f>
        <v>1215.7347651750003</v>
      </c>
      <c r="AG217" s="47">
        <f>AD217*(1+Input!$B$36)</f>
        <v>1215.7347651750003</v>
      </c>
      <c r="AH217" s="47">
        <f>AE217*(1+Input!$B$36)</f>
        <v>1276.5215034337505</v>
      </c>
      <c r="AI217" s="47">
        <f>AF217*(1+Input!$B$36)</f>
        <v>1276.5215034337505</v>
      </c>
      <c r="AJ217" s="47">
        <f>AG217*(1+Input!$B$36)</f>
        <v>1276.5215034337505</v>
      </c>
      <c r="AK217" s="47" t="s">
        <v>98</v>
      </c>
    </row>
    <row r="218" spans="5:37" x14ac:dyDescent="0.25">
      <c r="E218" s="64" t="str">
        <f>Input!A307</f>
        <v>Year 8</v>
      </c>
      <c r="F218" s="57">
        <f>Input!B307</f>
        <v>160</v>
      </c>
      <c r="J218" s="47">
        <f>$F218*Input!$B$33*Input!$B$28*Input!$B$11</f>
        <v>864</v>
      </c>
      <c r="K218" s="47">
        <f>$F218*Input!$B$33*Input!$B$28*Input!$B$11</f>
        <v>864</v>
      </c>
      <c r="L218" s="47">
        <f>$F218*Input!$B$33*Input!$B$28*Input!$B$11</f>
        <v>864</v>
      </c>
      <c r="M218" s="47">
        <f>J218*(1+Input!$B$36)</f>
        <v>907.2</v>
      </c>
      <c r="N218" s="47">
        <f>K218*(1+Input!$B$36)</f>
        <v>907.2</v>
      </c>
      <c r="O218" s="47">
        <f>L218*(1+Input!$B$36)</f>
        <v>907.2</v>
      </c>
      <c r="P218" s="47">
        <f>M218*(1+Input!$B$36)</f>
        <v>952.56000000000006</v>
      </c>
      <c r="Q218" s="47">
        <f>N218*(1+Input!$B$36)</f>
        <v>952.56000000000006</v>
      </c>
      <c r="R218" s="47">
        <f>O218*(1+Input!$B$36)</f>
        <v>952.56000000000006</v>
      </c>
      <c r="S218" s="47">
        <f>P218*(1+Input!$B$36)</f>
        <v>1000.1880000000001</v>
      </c>
      <c r="T218" s="47">
        <f>Q218*(1+Input!$B$36)</f>
        <v>1000.1880000000001</v>
      </c>
      <c r="U218" s="47">
        <f>R218*(1+Input!$B$36)</f>
        <v>1000.1880000000001</v>
      </c>
      <c r="V218" s="47">
        <f>S218*(1+Input!$B$36)</f>
        <v>1050.1974000000002</v>
      </c>
      <c r="W218" s="47">
        <f>T218*(1+Input!$B$36)</f>
        <v>1050.1974000000002</v>
      </c>
      <c r="X218" s="47">
        <f>U218*(1+Input!$B$36)</f>
        <v>1050.1974000000002</v>
      </c>
      <c r="Y218" s="47">
        <f>V218*(1+Input!$B$36)</f>
        <v>1102.7072700000003</v>
      </c>
      <c r="Z218" s="47">
        <f>W218*(1+Input!$B$36)</f>
        <v>1102.7072700000003</v>
      </c>
      <c r="AA218" s="47">
        <f>X218*(1+Input!$B$36)</f>
        <v>1102.7072700000003</v>
      </c>
      <c r="AB218" s="47">
        <f>Y218*(1+Input!$B$36)</f>
        <v>1157.8426335000004</v>
      </c>
      <c r="AC218" s="47">
        <f>Z218*(1+Input!$B$36)</f>
        <v>1157.8426335000004</v>
      </c>
      <c r="AD218" s="47">
        <f>AA218*(1+Input!$B$36)</f>
        <v>1157.8426335000004</v>
      </c>
      <c r="AE218" s="47">
        <f>AB218*(1+Input!$B$36)</f>
        <v>1215.7347651750003</v>
      </c>
      <c r="AF218" s="47">
        <f>AC218*(1+Input!$B$36)</f>
        <v>1215.7347651750003</v>
      </c>
      <c r="AG218" s="47">
        <f>AD218*(1+Input!$B$36)</f>
        <v>1215.7347651750003</v>
      </c>
      <c r="AH218" s="47">
        <f>AE218*(1+Input!$B$36)</f>
        <v>1276.5215034337505</v>
      </c>
      <c r="AI218" s="47">
        <f>AF218*(1+Input!$B$36)</f>
        <v>1276.5215034337505</v>
      </c>
      <c r="AJ218" s="47">
        <f>AG218*(1+Input!$B$36)</f>
        <v>1276.5215034337505</v>
      </c>
      <c r="AK218" s="47" t="s">
        <v>98</v>
      </c>
    </row>
    <row r="219" spans="5:37" x14ac:dyDescent="0.25">
      <c r="E219" s="64" t="str">
        <f>Input!A308</f>
        <v>Year 9</v>
      </c>
      <c r="F219" s="57">
        <f>Input!B308</f>
        <v>160</v>
      </c>
      <c r="J219" s="47">
        <f>$F219*Input!$B$33*Input!$B$28*Input!$B$11</f>
        <v>864</v>
      </c>
      <c r="K219" s="47">
        <f>$F219*Input!$B$33*Input!$B$28*Input!$B$11</f>
        <v>864</v>
      </c>
      <c r="L219" s="47">
        <f>$F219*Input!$B$33*Input!$B$28*Input!$B$11</f>
        <v>864</v>
      </c>
      <c r="M219" s="47">
        <f>J219*(1+Input!$B$36)</f>
        <v>907.2</v>
      </c>
      <c r="N219" s="47">
        <f>K219*(1+Input!$B$36)</f>
        <v>907.2</v>
      </c>
      <c r="O219" s="47">
        <f>L219*(1+Input!$B$36)</f>
        <v>907.2</v>
      </c>
      <c r="P219" s="47">
        <f>M219*(1+Input!$B$36)</f>
        <v>952.56000000000006</v>
      </c>
      <c r="Q219" s="47">
        <f>N219*(1+Input!$B$36)</f>
        <v>952.56000000000006</v>
      </c>
      <c r="R219" s="47">
        <f>O219*(1+Input!$B$36)</f>
        <v>952.56000000000006</v>
      </c>
      <c r="S219" s="47">
        <f>P219*(1+Input!$B$36)</f>
        <v>1000.1880000000001</v>
      </c>
      <c r="T219" s="47">
        <f>Q219*(1+Input!$B$36)</f>
        <v>1000.1880000000001</v>
      </c>
      <c r="U219" s="47">
        <f>R219*(1+Input!$B$36)</f>
        <v>1000.1880000000001</v>
      </c>
      <c r="V219" s="47">
        <f>S219*(1+Input!$B$36)</f>
        <v>1050.1974000000002</v>
      </c>
      <c r="W219" s="47">
        <f>T219*(1+Input!$B$36)</f>
        <v>1050.1974000000002</v>
      </c>
      <c r="X219" s="47">
        <f>U219*(1+Input!$B$36)</f>
        <v>1050.1974000000002</v>
      </c>
      <c r="Y219" s="47">
        <f>V219*(1+Input!$B$36)</f>
        <v>1102.7072700000003</v>
      </c>
      <c r="Z219" s="47">
        <f>W219*(1+Input!$B$36)</f>
        <v>1102.7072700000003</v>
      </c>
      <c r="AA219" s="47">
        <f>X219*(1+Input!$B$36)</f>
        <v>1102.7072700000003</v>
      </c>
      <c r="AB219" s="47">
        <f>Y219*(1+Input!$B$36)</f>
        <v>1157.8426335000004</v>
      </c>
      <c r="AC219" s="47">
        <f>Z219*(1+Input!$B$36)</f>
        <v>1157.8426335000004</v>
      </c>
      <c r="AD219" s="47">
        <f>AA219*(1+Input!$B$36)</f>
        <v>1157.8426335000004</v>
      </c>
      <c r="AE219" s="47">
        <f>AB219*(1+Input!$B$36)</f>
        <v>1215.7347651750003</v>
      </c>
      <c r="AF219" s="47">
        <f>AC219*(1+Input!$B$36)</f>
        <v>1215.7347651750003</v>
      </c>
      <c r="AG219" s="47">
        <f>AD219*(1+Input!$B$36)</f>
        <v>1215.7347651750003</v>
      </c>
      <c r="AH219" s="47">
        <f>AE219*(1+Input!$B$36)</f>
        <v>1276.5215034337505</v>
      </c>
      <c r="AI219" s="47">
        <f>AF219*(1+Input!$B$36)</f>
        <v>1276.5215034337505</v>
      </c>
      <c r="AJ219" s="47">
        <f>AG219*(1+Input!$B$36)</f>
        <v>1276.5215034337505</v>
      </c>
      <c r="AK219" s="47" t="s">
        <v>98</v>
      </c>
    </row>
    <row r="220" spans="5:37" x14ac:dyDescent="0.25">
      <c r="E220" s="64" t="str">
        <f>Input!A309</f>
        <v>Year 10</v>
      </c>
      <c r="F220" s="57">
        <f>Input!B309</f>
        <v>160</v>
      </c>
      <c r="J220" s="47">
        <f>$F220*Input!$B$33*Input!$B$28*Input!$B$11</f>
        <v>864</v>
      </c>
      <c r="K220" s="47">
        <f>$F220*Input!$B$33*Input!$B$28*Input!$B$11</f>
        <v>864</v>
      </c>
      <c r="L220" s="47">
        <f>$F220*Input!$B$33*Input!$B$28*Input!$B$11</f>
        <v>864</v>
      </c>
      <c r="M220" s="47">
        <f>J220*(1+Input!$B$36)</f>
        <v>907.2</v>
      </c>
      <c r="N220" s="47">
        <f>K220*(1+Input!$B$36)</f>
        <v>907.2</v>
      </c>
      <c r="O220" s="47">
        <f>L220*(1+Input!$B$36)</f>
        <v>907.2</v>
      </c>
      <c r="P220" s="47">
        <f>M220*(1+Input!$B$36)</f>
        <v>952.56000000000006</v>
      </c>
      <c r="Q220" s="47">
        <f>N220*(1+Input!$B$36)</f>
        <v>952.56000000000006</v>
      </c>
      <c r="R220" s="47">
        <f>O220*(1+Input!$B$36)</f>
        <v>952.56000000000006</v>
      </c>
      <c r="S220" s="47">
        <f>P220*(1+Input!$B$36)</f>
        <v>1000.1880000000001</v>
      </c>
      <c r="T220" s="47">
        <f>Q220*(1+Input!$B$36)</f>
        <v>1000.1880000000001</v>
      </c>
      <c r="U220" s="47">
        <f>R220*(1+Input!$B$36)</f>
        <v>1000.1880000000001</v>
      </c>
      <c r="V220" s="47">
        <f>S220*(1+Input!$B$36)</f>
        <v>1050.1974000000002</v>
      </c>
      <c r="W220" s="47">
        <f>T220*(1+Input!$B$36)</f>
        <v>1050.1974000000002</v>
      </c>
      <c r="X220" s="47">
        <f>U220*(1+Input!$B$36)</f>
        <v>1050.1974000000002</v>
      </c>
      <c r="Y220" s="47">
        <f>V220*(1+Input!$B$36)</f>
        <v>1102.7072700000003</v>
      </c>
      <c r="Z220" s="47">
        <f>W220*(1+Input!$B$36)</f>
        <v>1102.7072700000003</v>
      </c>
      <c r="AA220" s="47">
        <f>X220*(1+Input!$B$36)</f>
        <v>1102.7072700000003</v>
      </c>
      <c r="AB220" s="47">
        <f>Y220*(1+Input!$B$36)</f>
        <v>1157.8426335000004</v>
      </c>
      <c r="AC220" s="47">
        <f>Z220*(1+Input!$B$36)</f>
        <v>1157.8426335000004</v>
      </c>
      <c r="AD220" s="47">
        <f>AA220*(1+Input!$B$36)</f>
        <v>1157.8426335000004</v>
      </c>
      <c r="AE220" s="47">
        <f>AB220*(1+Input!$B$36)</f>
        <v>1215.7347651750003</v>
      </c>
      <c r="AF220" s="47">
        <f>AC220*(1+Input!$B$36)</f>
        <v>1215.7347651750003</v>
      </c>
      <c r="AG220" s="47">
        <f>AD220*(1+Input!$B$36)</f>
        <v>1215.7347651750003</v>
      </c>
      <c r="AH220" s="47">
        <f>AE220*(1+Input!$B$36)</f>
        <v>1276.5215034337505</v>
      </c>
      <c r="AI220" s="47">
        <f>AF220*(1+Input!$B$36)</f>
        <v>1276.5215034337505</v>
      </c>
      <c r="AJ220" s="47">
        <f>AG220*(1+Input!$B$36)</f>
        <v>1276.5215034337505</v>
      </c>
      <c r="AK220" s="47" t="s">
        <v>98</v>
      </c>
    </row>
    <row r="221" spans="5:37" x14ac:dyDescent="0.25">
      <c r="E221" s="64" t="str">
        <f>Input!A310</f>
        <v>Year 11</v>
      </c>
      <c r="F221" s="57">
        <f>Input!B310</f>
        <v>160</v>
      </c>
      <c r="J221" s="47">
        <f>$F221*Input!$B$33*Input!$B$28*Input!$B$11</f>
        <v>864</v>
      </c>
      <c r="K221" s="47">
        <f>$F221*Input!$B$33*Input!$B$28*Input!$B$11</f>
        <v>864</v>
      </c>
      <c r="L221" s="47">
        <f>$F221*Input!$B$33*Input!$B$28*Input!$B$11</f>
        <v>864</v>
      </c>
      <c r="M221" s="47">
        <f>J221*(1+Input!$B$36)</f>
        <v>907.2</v>
      </c>
      <c r="N221" s="47">
        <f>K221*(1+Input!$B$36)</f>
        <v>907.2</v>
      </c>
      <c r="O221" s="47">
        <f>L221*(1+Input!$B$36)</f>
        <v>907.2</v>
      </c>
      <c r="P221" s="47">
        <f>M221*(1+Input!$B$36)</f>
        <v>952.56000000000006</v>
      </c>
      <c r="Q221" s="47">
        <f>N221*(1+Input!$B$36)</f>
        <v>952.56000000000006</v>
      </c>
      <c r="R221" s="47">
        <f>O221*(1+Input!$B$36)</f>
        <v>952.56000000000006</v>
      </c>
      <c r="S221" s="47">
        <f>P221*(1+Input!$B$36)</f>
        <v>1000.1880000000001</v>
      </c>
      <c r="T221" s="47">
        <f>Q221*(1+Input!$B$36)</f>
        <v>1000.1880000000001</v>
      </c>
      <c r="U221" s="47">
        <f>R221*(1+Input!$B$36)</f>
        <v>1000.1880000000001</v>
      </c>
      <c r="V221" s="47">
        <f>S221*(1+Input!$B$36)</f>
        <v>1050.1974000000002</v>
      </c>
      <c r="W221" s="47">
        <f>T221*(1+Input!$B$36)</f>
        <v>1050.1974000000002</v>
      </c>
      <c r="X221" s="47">
        <f>U221*(1+Input!$B$36)</f>
        <v>1050.1974000000002</v>
      </c>
      <c r="Y221" s="47">
        <f>V221*(1+Input!$B$36)</f>
        <v>1102.7072700000003</v>
      </c>
      <c r="Z221" s="47">
        <f>W221*(1+Input!$B$36)</f>
        <v>1102.7072700000003</v>
      </c>
      <c r="AA221" s="47">
        <f>X221*(1+Input!$B$36)</f>
        <v>1102.7072700000003</v>
      </c>
      <c r="AB221" s="47">
        <f>Y221*(1+Input!$B$36)</f>
        <v>1157.8426335000004</v>
      </c>
      <c r="AC221" s="47">
        <f>Z221*(1+Input!$B$36)</f>
        <v>1157.8426335000004</v>
      </c>
      <c r="AD221" s="47">
        <f>AA221*(1+Input!$B$36)</f>
        <v>1157.8426335000004</v>
      </c>
      <c r="AE221" s="47">
        <f>AB221*(1+Input!$B$36)</f>
        <v>1215.7347651750003</v>
      </c>
      <c r="AF221" s="47">
        <f>AC221*(1+Input!$B$36)</f>
        <v>1215.7347651750003</v>
      </c>
      <c r="AG221" s="47">
        <f>AD221*(1+Input!$B$36)</f>
        <v>1215.7347651750003</v>
      </c>
      <c r="AH221" s="47">
        <f>AE221*(1+Input!$B$36)</f>
        <v>1276.5215034337505</v>
      </c>
      <c r="AI221" s="47">
        <f>AF221*(1+Input!$B$36)</f>
        <v>1276.5215034337505</v>
      </c>
      <c r="AJ221" s="47">
        <f>AG221*(1+Input!$B$36)</f>
        <v>1276.5215034337505</v>
      </c>
      <c r="AK221" s="47" t="s">
        <v>98</v>
      </c>
    </row>
    <row r="222" spans="5:37" x14ac:dyDescent="0.25">
      <c r="E222" s="64" t="str">
        <f>Input!A311</f>
        <v>Year 12</v>
      </c>
      <c r="F222" s="57">
        <f>Input!B311</f>
        <v>160</v>
      </c>
      <c r="J222" s="47">
        <f>$F222*Input!$B$33*Input!$B$28*Input!$B$11</f>
        <v>864</v>
      </c>
      <c r="K222" s="47">
        <f>$F222*Input!$B$33*Input!$B$28*Input!$B$11</f>
        <v>864</v>
      </c>
      <c r="L222" s="47">
        <f>$F222*Input!$B$33*Input!$B$28*Input!$B$11</f>
        <v>864</v>
      </c>
      <c r="M222" s="47">
        <f>J222*(1+Input!$B$36)</f>
        <v>907.2</v>
      </c>
      <c r="N222" s="47">
        <f>K222*(1+Input!$B$36)</f>
        <v>907.2</v>
      </c>
      <c r="O222" s="47">
        <f>L222*(1+Input!$B$36)</f>
        <v>907.2</v>
      </c>
      <c r="P222" s="47">
        <f>M222*(1+Input!$B$36)</f>
        <v>952.56000000000006</v>
      </c>
      <c r="Q222" s="47">
        <f>N222*(1+Input!$B$36)</f>
        <v>952.56000000000006</v>
      </c>
      <c r="R222" s="47">
        <f>O222*(1+Input!$B$36)</f>
        <v>952.56000000000006</v>
      </c>
      <c r="S222" s="47">
        <f>P222*(1+Input!$B$36)</f>
        <v>1000.1880000000001</v>
      </c>
      <c r="T222" s="47">
        <f>Q222*(1+Input!$B$36)</f>
        <v>1000.1880000000001</v>
      </c>
      <c r="U222" s="47">
        <f>R222*(1+Input!$B$36)</f>
        <v>1000.1880000000001</v>
      </c>
      <c r="V222" s="47">
        <f>S222*(1+Input!$B$36)</f>
        <v>1050.1974000000002</v>
      </c>
      <c r="W222" s="47">
        <f>T222*(1+Input!$B$36)</f>
        <v>1050.1974000000002</v>
      </c>
      <c r="X222" s="47">
        <f>U222*(1+Input!$B$36)</f>
        <v>1050.1974000000002</v>
      </c>
      <c r="Y222" s="47">
        <f>V222*(1+Input!$B$36)</f>
        <v>1102.7072700000003</v>
      </c>
      <c r="Z222" s="47">
        <f>W222*(1+Input!$B$36)</f>
        <v>1102.7072700000003</v>
      </c>
      <c r="AA222" s="47">
        <f>X222*(1+Input!$B$36)</f>
        <v>1102.7072700000003</v>
      </c>
      <c r="AB222" s="47">
        <f>Y222*(1+Input!$B$36)</f>
        <v>1157.8426335000004</v>
      </c>
      <c r="AC222" s="47">
        <f>Z222*(1+Input!$B$36)</f>
        <v>1157.8426335000004</v>
      </c>
      <c r="AD222" s="47">
        <f>AA222*(1+Input!$B$36)</f>
        <v>1157.8426335000004</v>
      </c>
      <c r="AE222" s="47">
        <f>AB222*(1+Input!$B$36)</f>
        <v>1215.7347651750003</v>
      </c>
      <c r="AF222" s="47">
        <f>AC222*(1+Input!$B$36)</f>
        <v>1215.7347651750003</v>
      </c>
      <c r="AG222" s="47">
        <f>AD222*(1+Input!$B$36)</f>
        <v>1215.7347651750003</v>
      </c>
      <c r="AH222" s="47">
        <f>AE222*(1+Input!$B$36)</f>
        <v>1276.5215034337505</v>
      </c>
      <c r="AI222" s="47">
        <f>AF222*(1+Input!$B$36)</f>
        <v>1276.5215034337505</v>
      </c>
      <c r="AJ222" s="47">
        <f>AG222*(1+Input!$B$36)</f>
        <v>1276.5215034337505</v>
      </c>
      <c r="AK222" s="47" t="s">
        <v>98</v>
      </c>
    </row>
    <row r="223" spans="5:37" x14ac:dyDescent="0.25">
      <c r="E223" s="64" t="str">
        <f>Input!A312</f>
        <v>Year 13</v>
      </c>
      <c r="F223" s="57">
        <f>Input!B312</f>
        <v>160</v>
      </c>
      <c r="J223" s="47">
        <f>$F223*Input!$B$33*Input!$B$28*Input!$B$11</f>
        <v>864</v>
      </c>
      <c r="K223" s="47">
        <f>$F223*Input!$B$33*Input!$B$28*Input!$B$11</f>
        <v>864</v>
      </c>
      <c r="L223" s="47">
        <f>$F223*Input!$B$33*Input!$B$28*Input!$B$11</f>
        <v>864</v>
      </c>
      <c r="M223" s="47">
        <f>J223*(1+Input!$B$36)</f>
        <v>907.2</v>
      </c>
      <c r="N223" s="47">
        <f>K223*(1+Input!$B$36)</f>
        <v>907.2</v>
      </c>
      <c r="O223" s="47">
        <f>L223*(1+Input!$B$36)</f>
        <v>907.2</v>
      </c>
      <c r="P223" s="47">
        <f>M223*(1+Input!$B$36)</f>
        <v>952.56000000000006</v>
      </c>
      <c r="Q223" s="47">
        <f>N223*(1+Input!$B$36)</f>
        <v>952.56000000000006</v>
      </c>
      <c r="R223" s="47">
        <f>O223*(1+Input!$B$36)</f>
        <v>952.56000000000006</v>
      </c>
      <c r="S223" s="47">
        <f>P223*(1+Input!$B$36)</f>
        <v>1000.1880000000001</v>
      </c>
      <c r="T223" s="47">
        <f>Q223*(1+Input!$B$36)</f>
        <v>1000.1880000000001</v>
      </c>
      <c r="U223" s="47">
        <f>R223*(1+Input!$B$36)</f>
        <v>1000.1880000000001</v>
      </c>
      <c r="V223" s="47">
        <f>S223*(1+Input!$B$36)</f>
        <v>1050.1974000000002</v>
      </c>
      <c r="W223" s="47">
        <f>T223*(1+Input!$B$36)</f>
        <v>1050.1974000000002</v>
      </c>
      <c r="X223" s="47">
        <f>U223*(1+Input!$B$36)</f>
        <v>1050.1974000000002</v>
      </c>
      <c r="Y223" s="47">
        <f>V223*(1+Input!$B$36)</f>
        <v>1102.7072700000003</v>
      </c>
      <c r="Z223" s="47">
        <f>W223*(1+Input!$B$36)</f>
        <v>1102.7072700000003</v>
      </c>
      <c r="AA223" s="47">
        <f>X223*(1+Input!$B$36)</f>
        <v>1102.7072700000003</v>
      </c>
      <c r="AB223" s="47">
        <f>Y223*(1+Input!$B$36)</f>
        <v>1157.8426335000004</v>
      </c>
      <c r="AC223" s="47">
        <f>Z223*(1+Input!$B$36)</f>
        <v>1157.8426335000004</v>
      </c>
      <c r="AD223" s="47">
        <f>AA223*(1+Input!$B$36)</f>
        <v>1157.8426335000004</v>
      </c>
      <c r="AE223" s="47">
        <f>AB223*(1+Input!$B$36)</f>
        <v>1215.7347651750003</v>
      </c>
      <c r="AF223" s="47">
        <f>AC223*(1+Input!$B$36)</f>
        <v>1215.7347651750003</v>
      </c>
      <c r="AG223" s="47">
        <f>AD223*(1+Input!$B$36)</f>
        <v>1215.7347651750003</v>
      </c>
      <c r="AH223" s="47">
        <f>AE223*(1+Input!$B$36)</f>
        <v>1276.5215034337505</v>
      </c>
      <c r="AI223" s="47">
        <f>AF223*(1+Input!$B$36)</f>
        <v>1276.5215034337505</v>
      </c>
      <c r="AJ223" s="47">
        <f>AG223*(1+Input!$B$36)</f>
        <v>1276.5215034337505</v>
      </c>
      <c r="AK223" s="47" t="s">
        <v>98</v>
      </c>
    </row>
    <row r="224" spans="5:37" x14ac:dyDescent="0.25">
      <c r="E224" s="64" t="str">
        <f>Input!A313</f>
        <v>Year 14</v>
      </c>
      <c r="F224" s="57">
        <f>Input!B313</f>
        <v>160</v>
      </c>
      <c r="J224" s="47">
        <f>$F224*Input!$B$33*Input!$B$28*Input!$B$11</f>
        <v>864</v>
      </c>
      <c r="K224" s="47">
        <f>$F224*Input!$B$33*Input!$B$28*Input!$B$11</f>
        <v>864</v>
      </c>
      <c r="L224" s="47">
        <f>$F224*Input!$B$33*Input!$B$28*Input!$B$11</f>
        <v>864</v>
      </c>
      <c r="M224" s="47">
        <f>J224*(1+Input!$B$36)</f>
        <v>907.2</v>
      </c>
      <c r="N224" s="47">
        <f>K224*(1+Input!$B$36)</f>
        <v>907.2</v>
      </c>
      <c r="O224" s="47">
        <f>L224*(1+Input!$B$36)</f>
        <v>907.2</v>
      </c>
      <c r="P224" s="47">
        <f>M224*(1+Input!$B$36)</f>
        <v>952.56000000000006</v>
      </c>
      <c r="Q224" s="47">
        <f>N224*(1+Input!$B$36)</f>
        <v>952.56000000000006</v>
      </c>
      <c r="R224" s="47">
        <f>O224*(1+Input!$B$36)</f>
        <v>952.56000000000006</v>
      </c>
      <c r="S224" s="47">
        <f>P224*(1+Input!$B$36)</f>
        <v>1000.1880000000001</v>
      </c>
      <c r="T224" s="47">
        <f>Q224*(1+Input!$B$36)</f>
        <v>1000.1880000000001</v>
      </c>
      <c r="U224" s="47">
        <f>R224*(1+Input!$B$36)</f>
        <v>1000.1880000000001</v>
      </c>
      <c r="V224" s="47">
        <f>S224*(1+Input!$B$36)</f>
        <v>1050.1974000000002</v>
      </c>
      <c r="W224" s="47">
        <f>T224*(1+Input!$B$36)</f>
        <v>1050.1974000000002</v>
      </c>
      <c r="X224" s="47">
        <f>U224*(1+Input!$B$36)</f>
        <v>1050.1974000000002</v>
      </c>
      <c r="Y224" s="47">
        <f>V224*(1+Input!$B$36)</f>
        <v>1102.7072700000003</v>
      </c>
      <c r="Z224" s="47">
        <f>W224*(1+Input!$B$36)</f>
        <v>1102.7072700000003</v>
      </c>
      <c r="AA224" s="47">
        <f>X224*(1+Input!$B$36)</f>
        <v>1102.7072700000003</v>
      </c>
      <c r="AB224" s="47">
        <f>Y224*(1+Input!$B$36)</f>
        <v>1157.8426335000004</v>
      </c>
      <c r="AC224" s="47">
        <f>Z224*(1+Input!$B$36)</f>
        <v>1157.8426335000004</v>
      </c>
      <c r="AD224" s="47">
        <f>AA224*(1+Input!$B$36)</f>
        <v>1157.8426335000004</v>
      </c>
      <c r="AE224" s="47">
        <f>AB224*(1+Input!$B$36)</f>
        <v>1215.7347651750003</v>
      </c>
      <c r="AF224" s="47">
        <f>AC224*(1+Input!$B$36)</f>
        <v>1215.7347651750003</v>
      </c>
      <c r="AG224" s="47">
        <f>AD224*(1+Input!$B$36)</f>
        <v>1215.7347651750003</v>
      </c>
      <c r="AH224" s="47">
        <f>AE224*(1+Input!$B$36)</f>
        <v>1276.5215034337505</v>
      </c>
      <c r="AI224" s="47">
        <f>AF224*(1+Input!$B$36)</f>
        <v>1276.5215034337505</v>
      </c>
      <c r="AJ224" s="47">
        <f>AG224*(1+Input!$B$36)</f>
        <v>1276.5215034337505</v>
      </c>
      <c r="AK224" s="47" t="s">
        <v>98</v>
      </c>
    </row>
    <row r="225" spans="5:37" x14ac:dyDescent="0.25">
      <c r="E225" s="50" t="s">
        <v>111</v>
      </c>
      <c r="J225" s="76">
        <f>SUM(J206:J224)</f>
        <v>16416</v>
      </c>
      <c r="K225" s="76">
        <f t="shared" ref="K225:AJ225" si="9">SUM(K206:K224)</f>
        <v>16416</v>
      </c>
      <c r="L225" s="76">
        <f t="shared" si="9"/>
        <v>16416</v>
      </c>
      <c r="M225" s="76">
        <f t="shared" si="9"/>
        <v>17236.800000000007</v>
      </c>
      <c r="N225" s="76">
        <f t="shared" si="9"/>
        <v>17236.800000000007</v>
      </c>
      <c r="O225" s="76">
        <f t="shared" si="9"/>
        <v>17236.800000000007</v>
      </c>
      <c r="P225" s="76">
        <f t="shared" si="9"/>
        <v>18098.64</v>
      </c>
      <c r="Q225" s="76">
        <f t="shared" si="9"/>
        <v>18098.64</v>
      </c>
      <c r="R225" s="76">
        <f t="shared" si="9"/>
        <v>18098.64</v>
      </c>
      <c r="S225" s="76">
        <f t="shared" si="9"/>
        <v>19003.572000000007</v>
      </c>
      <c r="T225" s="76">
        <f t="shared" si="9"/>
        <v>19003.572000000007</v>
      </c>
      <c r="U225" s="76">
        <f t="shared" si="9"/>
        <v>19003.572000000007</v>
      </c>
      <c r="V225" s="76">
        <f t="shared" si="9"/>
        <v>19953.75060000001</v>
      </c>
      <c r="W225" s="76">
        <f t="shared" si="9"/>
        <v>19953.75060000001</v>
      </c>
      <c r="X225" s="76">
        <f t="shared" si="9"/>
        <v>19953.75060000001</v>
      </c>
      <c r="Y225" s="76">
        <f t="shared" si="9"/>
        <v>20951.438130000006</v>
      </c>
      <c r="Z225" s="76">
        <f t="shared" si="9"/>
        <v>20951.438130000006</v>
      </c>
      <c r="AA225" s="76">
        <f t="shared" si="9"/>
        <v>20951.438130000006</v>
      </c>
      <c r="AB225" s="76">
        <f t="shared" si="9"/>
        <v>21999.010036500007</v>
      </c>
      <c r="AC225" s="76">
        <f t="shared" si="9"/>
        <v>21999.010036500007</v>
      </c>
      <c r="AD225" s="76">
        <f t="shared" si="9"/>
        <v>21999.010036500007</v>
      </c>
      <c r="AE225" s="76">
        <f t="shared" si="9"/>
        <v>23098.960538324998</v>
      </c>
      <c r="AF225" s="76">
        <f t="shared" si="9"/>
        <v>23098.960538324998</v>
      </c>
      <c r="AG225" s="76">
        <f t="shared" si="9"/>
        <v>23098.960538324998</v>
      </c>
      <c r="AH225" s="76">
        <f t="shared" si="9"/>
        <v>24253.90856524125</v>
      </c>
      <c r="AI225" s="76">
        <f t="shared" si="9"/>
        <v>24253.90856524125</v>
      </c>
      <c r="AJ225" s="76">
        <f t="shared" si="9"/>
        <v>24253.90856524125</v>
      </c>
      <c r="AK225" s="47" t="s">
        <v>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BCE32-AB9D-4978-B04C-6ABF0C3EF14E}">
  <sheetPr codeName="Sheet7">
    <tabColor rgb="FF92D050"/>
  </sheetPr>
  <dimension ref="A1:AJ19"/>
  <sheetViews>
    <sheetView showGridLines="0" zoomScale="70" zoomScaleNormal="70" workbookViewId="0">
      <pane xSplit="9" ySplit="5" topLeftCell="J6" activePane="bottomRight" state="frozen"/>
      <selection activeCell="F31" sqref="F31"/>
      <selection pane="topRight" activeCell="F31" sqref="F31"/>
      <selection pane="bottomLeft" activeCell="F31" sqref="F31"/>
      <selection pane="bottomRight" activeCell="J6" sqref="J6"/>
    </sheetView>
  </sheetViews>
  <sheetFormatPr defaultRowHeight="15" x14ac:dyDescent="0.25"/>
  <cols>
    <col min="1" max="4" width="2.28515625" style="47" customWidth="1"/>
    <col min="5" max="5" width="27.7109375" style="47" customWidth="1"/>
    <col min="6" max="8" width="9.140625" style="47"/>
    <col min="9" max="9" width="2.5703125" style="47" customWidth="1"/>
    <col min="10" max="36" width="21.7109375" style="47" customWidth="1"/>
    <col min="37" max="16384" width="9.140625" style="47"/>
  </cols>
  <sheetData>
    <row r="1" spans="1:36" ht="34.5" x14ac:dyDescent="0.55000000000000004">
      <c r="A1" s="48" t="s">
        <v>91</v>
      </c>
    </row>
    <row r="2" spans="1:36" s="50" customFormat="1" x14ac:dyDescent="0.25">
      <c r="J2" s="60"/>
      <c r="K2" s="60" t="s">
        <v>76</v>
      </c>
      <c r="L2" s="60"/>
      <c r="M2" s="61"/>
      <c r="N2" s="61" t="s">
        <v>77</v>
      </c>
      <c r="O2" s="61"/>
      <c r="P2" s="60"/>
      <c r="Q2" s="60" t="s">
        <v>78</v>
      </c>
      <c r="R2" s="60"/>
      <c r="S2" s="61"/>
      <c r="T2" s="61" t="s">
        <v>79</v>
      </c>
      <c r="U2" s="61"/>
      <c r="V2" s="60"/>
      <c r="W2" s="60" t="s">
        <v>80</v>
      </c>
      <c r="X2" s="60"/>
      <c r="Y2" s="61"/>
      <c r="Z2" s="61" t="s">
        <v>81</v>
      </c>
      <c r="AA2" s="61"/>
      <c r="AB2" s="60"/>
      <c r="AC2" s="60" t="s">
        <v>82</v>
      </c>
      <c r="AD2" s="60"/>
      <c r="AE2" s="61"/>
      <c r="AF2" s="61" t="s">
        <v>83</v>
      </c>
      <c r="AG2" s="61"/>
      <c r="AH2" s="60"/>
      <c r="AI2" s="60" t="s">
        <v>84</v>
      </c>
      <c r="AJ2" s="60"/>
    </row>
    <row r="3" spans="1:36" x14ac:dyDescent="0.25">
      <c r="J3" s="62" t="s">
        <v>72</v>
      </c>
      <c r="K3" s="62" t="s">
        <v>73</v>
      </c>
      <c r="L3" s="62" t="s">
        <v>74</v>
      </c>
      <c r="M3" s="63" t="s">
        <v>72</v>
      </c>
      <c r="N3" s="63" t="s">
        <v>73</v>
      </c>
      <c r="O3" s="63" t="s">
        <v>74</v>
      </c>
      <c r="P3" s="62" t="s">
        <v>72</v>
      </c>
      <c r="Q3" s="62" t="s">
        <v>73</v>
      </c>
      <c r="R3" s="62" t="s">
        <v>74</v>
      </c>
      <c r="S3" s="63" t="s">
        <v>72</v>
      </c>
      <c r="T3" s="63" t="s">
        <v>73</v>
      </c>
      <c r="U3" s="63" t="s">
        <v>74</v>
      </c>
      <c r="V3" s="62" t="s">
        <v>72</v>
      </c>
      <c r="W3" s="62" t="s">
        <v>73</v>
      </c>
      <c r="X3" s="62" t="s">
        <v>74</v>
      </c>
      <c r="Y3" s="63" t="s">
        <v>72</v>
      </c>
      <c r="Z3" s="63" t="s">
        <v>73</v>
      </c>
      <c r="AA3" s="63" t="s">
        <v>74</v>
      </c>
      <c r="AB3" s="62" t="s">
        <v>72</v>
      </c>
      <c r="AC3" s="62" t="s">
        <v>73</v>
      </c>
      <c r="AD3" s="62" t="s">
        <v>74</v>
      </c>
      <c r="AE3" s="63" t="s">
        <v>72</v>
      </c>
      <c r="AF3" s="63" t="s">
        <v>73</v>
      </c>
      <c r="AG3" s="63" t="s">
        <v>74</v>
      </c>
      <c r="AH3" s="62" t="s">
        <v>72</v>
      </c>
      <c r="AI3" s="62" t="s">
        <v>73</v>
      </c>
      <c r="AJ3" s="62" t="s">
        <v>74</v>
      </c>
    </row>
    <row r="4" spans="1:36" x14ac:dyDescent="0.25">
      <c r="J4" s="62">
        <v>45536</v>
      </c>
      <c r="K4" s="62">
        <v>45658</v>
      </c>
      <c r="L4" s="62">
        <v>45778</v>
      </c>
      <c r="M4" s="63">
        <v>45901</v>
      </c>
      <c r="N4" s="63">
        <v>46023</v>
      </c>
      <c r="O4" s="63">
        <v>46143</v>
      </c>
      <c r="P4" s="62">
        <v>46266</v>
      </c>
      <c r="Q4" s="62">
        <v>46388</v>
      </c>
      <c r="R4" s="62">
        <v>46508</v>
      </c>
      <c r="S4" s="63">
        <v>46631</v>
      </c>
      <c r="T4" s="63">
        <v>46753</v>
      </c>
      <c r="U4" s="63">
        <v>46874</v>
      </c>
      <c r="V4" s="62">
        <v>46997</v>
      </c>
      <c r="W4" s="62">
        <v>47119</v>
      </c>
      <c r="X4" s="62">
        <v>47239</v>
      </c>
      <c r="Y4" s="63">
        <v>47362</v>
      </c>
      <c r="Z4" s="63">
        <v>47484</v>
      </c>
      <c r="AA4" s="63">
        <v>47604</v>
      </c>
      <c r="AB4" s="62">
        <v>47727</v>
      </c>
      <c r="AC4" s="62">
        <v>47849</v>
      </c>
      <c r="AD4" s="62">
        <v>47969</v>
      </c>
      <c r="AE4" s="63">
        <v>48092</v>
      </c>
      <c r="AF4" s="63">
        <v>48214</v>
      </c>
      <c r="AG4" s="63">
        <v>48335</v>
      </c>
      <c r="AH4" s="62">
        <v>48458</v>
      </c>
      <c r="AI4" s="62">
        <v>48580</v>
      </c>
      <c r="AJ4" s="62">
        <v>48700</v>
      </c>
    </row>
    <row r="5" spans="1:36" x14ac:dyDescent="0.25">
      <c r="J5" s="47">
        <v>1</v>
      </c>
      <c r="K5" s="47">
        <v>2</v>
      </c>
      <c r="L5" s="47">
        <v>3</v>
      </c>
      <c r="M5" s="47">
        <v>4</v>
      </c>
      <c r="N5" s="47">
        <v>5</v>
      </c>
      <c r="O5" s="47">
        <v>6</v>
      </c>
      <c r="P5" s="47">
        <v>7</v>
      </c>
      <c r="Q5" s="47">
        <v>8</v>
      </c>
      <c r="R5" s="47">
        <v>9</v>
      </c>
      <c r="S5" s="47">
        <v>10</v>
      </c>
      <c r="T5" s="47">
        <v>11</v>
      </c>
      <c r="U5" s="47">
        <v>12</v>
      </c>
      <c r="V5" s="47">
        <v>13</v>
      </c>
      <c r="W5" s="47">
        <v>14</v>
      </c>
      <c r="X5" s="47">
        <v>15</v>
      </c>
      <c r="Y5" s="47">
        <v>16</v>
      </c>
      <c r="Z5" s="47">
        <v>17</v>
      </c>
      <c r="AA5" s="47">
        <v>18</v>
      </c>
      <c r="AB5" s="47">
        <v>19</v>
      </c>
      <c r="AC5" s="47">
        <v>20</v>
      </c>
      <c r="AD5" s="47">
        <v>21</v>
      </c>
      <c r="AE5" s="47">
        <v>22</v>
      </c>
      <c r="AF5" s="47">
        <v>23</v>
      </c>
      <c r="AG5" s="47">
        <v>24</v>
      </c>
      <c r="AH5" s="47">
        <v>25</v>
      </c>
      <c r="AI5" s="47">
        <v>26</v>
      </c>
      <c r="AJ5" s="47">
        <v>27</v>
      </c>
    </row>
    <row r="7" spans="1:36" x14ac:dyDescent="0.25">
      <c r="B7" s="47" t="str">
        <f>Input!A316</f>
        <v>Start Up Costs</v>
      </c>
    </row>
    <row r="8" spans="1:36" x14ac:dyDescent="0.25">
      <c r="E8" s="47" t="str">
        <f>Input!A317</f>
        <v>Setup, Registration &amp; Licensing</v>
      </c>
      <c r="J8" s="57">
        <f>Input!B317</f>
        <v>5000</v>
      </c>
    </row>
    <row r="9" spans="1:36" x14ac:dyDescent="0.25">
      <c r="E9" s="47" t="str">
        <f>Input!A319</f>
        <v>Recruitment</v>
      </c>
      <c r="J9" s="57">
        <f>Input!B319</f>
        <v>3000</v>
      </c>
    </row>
    <row r="10" spans="1:36" x14ac:dyDescent="0.25">
      <c r="B10" s="47" t="s">
        <v>115</v>
      </c>
    </row>
    <row r="11" spans="1:36" x14ac:dyDescent="0.25">
      <c r="E11" s="47" t="str">
        <f>Input!A318</f>
        <v>Stationery &amp; Documents</v>
      </c>
      <c r="J11" s="47">
        <f>Input!$B$318/Input!$B$30</f>
        <v>3333.3333333333335</v>
      </c>
      <c r="K11" s="47">
        <f>Input!$B$318/Input!$B$30</f>
        <v>3333.3333333333335</v>
      </c>
      <c r="L11" s="47">
        <f>Input!$B$318/Input!$B$30</f>
        <v>3333.3333333333335</v>
      </c>
      <c r="M11" s="47">
        <f>J11*(1+Input!$B$36)</f>
        <v>3500.0000000000005</v>
      </c>
      <c r="N11" s="47">
        <f>K11*(1+Input!$B$36)</f>
        <v>3500.0000000000005</v>
      </c>
      <c r="O11" s="47">
        <f>L11*(1+Input!$B$36)</f>
        <v>3500.0000000000005</v>
      </c>
      <c r="P11" s="47">
        <f>M11*(1+Input!$B$36)</f>
        <v>3675.0000000000005</v>
      </c>
      <c r="Q11" s="47">
        <f>N11*(1+Input!$B$36)</f>
        <v>3675.0000000000005</v>
      </c>
      <c r="R11" s="47">
        <f>O11*(1+Input!$B$36)</f>
        <v>3675.0000000000005</v>
      </c>
      <c r="S11" s="47">
        <f>P11*(1+Input!$B$36)</f>
        <v>3858.7500000000005</v>
      </c>
      <c r="T11" s="47">
        <f>Q11*(1+Input!$B$36)</f>
        <v>3858.7500000000005</v>
      </c>
      <c r="U11" s="47">
        <f>R11*(1+Input!$B$36)</f>
        <v>3858.7500000000005</v>
      </c>
      <c r="V11" s="47">
        <f>S11*(1+Input!$B$36)</f>
        <v>4051.6875000000005</v>
      </c>
      <c r="W11" s="47">
        <f>T11*(1+Input!$B$36)</f>
        <v>4051.6875000000005</v>
      </c>
      <c r="X11" s="47">
        <f>U11*(1+Input!$B$36)</f>
        <v>4051.6875000000005</v>
      </c>
      <c r="Y11" s="47">
        <f>V11*(1+Input!$B$36)</f>
        <v>4254.2718750000004</v>
      </c>
      <c r="Z11" s="47">
        <f>W11*(1+Input!$B$36)</f>
        <v>4254.2718750000004</v>
      </c>
      <c r="AA11" s="47">
        <f>X11*(1+Input!$B$36)</f>
        <v>4254.2718750000004</v>
      </c>
      <c r="AB11" s="47">
        <f>Y11*(1+Input!$B$36)</f>
        <v>4466.985468750001</v>
      </c>
      <c r="AC11" s="47">
        <f>Z11*(1+Input!$B$36)</f>
        <v>4466.985468750001</v>
      </c>
      <c r="AD11" s="47">
        <f>AA11*(1+Input!$B$36)</f>
        <v>4466.985468750001</v>
      </c>
      <c r="AE11" s="47">
        <f>AB11*(1+Input!$B$36)</f>
        <v>4690.3347421875014</v>
      </c>
      <c r="AF11" s="47">
        <f>AC11*(1+Input!$B$36)</f>
        <v>4690.3347421875014</v>
      </c>
      <c r="AG11" s="47">
        <f>AD11*(1+Input!$B$36)</f>
        <v>4690.3347421875014</v>
      </c>
      <c r="AH11" s="47">
        <f>AE11*(1+Input!$B$36)</f>
        <v>4924.8514792968763</v>
      </c>
      <c r="AI11" s="47">
        <f>AF11*(1+Input!$B$36)</f>
        <v>4924.8514792968763</v>
      </c>
      <c r="AJ11" s="47">
        <f>AG11*(1+Input!$B$36)</f>
        <v>4924.8514792968763</v>
      </c>
    </row>
    <row r="12" spans="1:36" x14ac:dyDescent="0.25">
      <c r="E12" s="47" t="str">
        <f>Input!A320</f>
        <v>Marketing &amp; Advertising</v>
      </c>
      <c r="J12" s="47">
        <f>Input!$B$320/Input!$B$30</f>
        <v>2500</v>
      </c>
      <c r="K12" s="47">
        <f>Input!$B$320/Input!$B$30</f>
        <v>2500</v>
      </c>
      <c r="L12" s="47">
        <f>Input!$B$320/Input!$B$30</f>
        <v>2500</v>
      </c>
      <c r="M12" s="47">
        <f>J12*(1+Input!$B$36)</f>
        <v>2625</v>
      </c>
      <c r="N12" s="47">
        <f>K12*(1+Input!$B$36)</f>
        <v>2625</v>
      </c>
      <c r="O12" s="47">
        <f>L12*(1+Input!$B$36)</f>
        <v>2625</v>
      </c>
      <c r="P12" s="47">
        <f>M12*(1+Input!$B$36)</f>
        <v>2756.25</v>
      </c>
      <c r="Q12" s="47">
        <f>N12*(1+Input!$B$36)</f>
        <v>2756.25</v>
      </c>
      <c r="R12" s="47">
        <f>O12*(1+Input!$B$36)</f>
        <v>2756.25</v>
      </c>
      <c r="S12" s="47">
        <f>P12*(1+Input!$B$36)</f>
        <v>2894.0625</v>
      </c>
      <c r="T12" s="47">
        <f>Q12*(1+Input!$B$36)</f>
        <v>2894.0625</v>
      </c>
      <c r="U12" s="47">
        <f>R12*(1+Input!$B$36)</f>
        <v>2894.0625</v>
      </c>
      <c r="V12" s="47">
        <f>S12*(1+Input!$B$36)</f>
        <v>3038.765625</v>
      </c>
      <c r="W12" s="47">
        <f>T12*(1+Input!$B$36)</f>
        <v>3038.765625</v>
      </c>
      <c r="X12" s="47">
        <f>U12*(1+Input!$B$36)</f>
        <v>3038.765625</v>
      </c>
      <c r="Y12" s="47">
        <f>V12*(1+Input!$B$36)</f>
        <v>3190.7039062500003</v>
      </c>
      <c r="Z12" s="47">
        <f>W12*(1+Input!$B$36)</f>
        <v>3190.7039062500003</v>
      </c>
      <c r="AA12" s="47">
        <f>X12*(1+Input!$B$36)</f>
        <v>3190.7039062500003</v>
      </c>
      <c r="AB12" s="47">
        <f>Y12*(1+Input!$B$36)</f>
        <v>3350.2391015625003</v>
      </c>
      <c r="AC12" s="47">
        <f>Z12*(1+Input!$B$36)</f>
        <v>3350.2391015625003</v>
      </c>
      <c r="AD12" s="47">
        <f>AA12*(1+Input!$B$36)</f>
        <v>3350.2391015625003</v>
      </c>
      <c r="AE12" s="47">
        <f>AB12*(1+Input!$B$36)</f>
        <v>3517.7510566406254</v>
      </c>
      <c r="AF12" s="47">
        <f>AC12*(1+Input!$B$36)</f>
        <v>3517.7510566406254</v>
      </c>
      <c r="AG12" s="47">
        <f>AD12*(1+Input!$B$36)</f>
        <v>3517.7510566406254</v>
      </c>
      <c r="AH12" s="47">
        <f>AE12*(1+Input!$B$36)</f>
        <v>3693.6386094726568</v>
      </c>
      <c r="AI12" s="47">
        <f>AF12*(1+Input!$B$36)</f>
        <v>3693.6386094726568</v>
      </c>
      <c r="AJ12" s="47">
        <f>AG12*(1+Input!$B$36)</f>
        <v>3693.6386094726568</v>
      </c>
    </row>
    <row r="13" spans="1:36" x14ac:dyDescent="0.25">
      <c r="E13" s="47" t="str">
        <f>Input!A321</f>
        <v>Electricity &amp; Utilities</v>
      </c>
      <c r="J13" s="47">
        <f>Input!$B$321/Input!$B$30</f>
        <v>5000</v>
      </c>
      <c r="K13" s="47">
        <f>Input!$B$321/Input!$B$30</f>
        <v>5000</v>
      </c>
      <c r="L13" s="47">
        <f>Input!$B$321/Input!$B$30</f>
        <v>5000</v>
      </c>
      <c r="M13" s="47">
        <f>J13*(1+Input!$B$36)</f>
        <v>5250</v>
      </c>
      <c r="N13" s="47">
        <f>K13*(1+Input!$B$36)</f>
        <v>5250</v>
      </c>
      <c r="O13" s="47">
        <f>L13*(1+Input!$B$36)</f>
        <v>5250</v>
      </c>
      <c r="P13" s="47">
        <f>M13*(1+Input!$B$36)</f>
        <v>5512.5</v>
      </c>
      <c r="Q13" s="47">
        <f>N13*(1+Input!$B$36)</f>
        <v>5512.5</v>
      </c>
      <c r="R13" s="47">
        <f>O13*(1+Input!$B$36)</f>
        <v>5512.5</v>
      </c>
      <c r="S13" s="47">
        <f>P13*(1+Input!$B$36)</f>
        <v>5788.125</v>
      </c>
      <c r="T13" s="47">
        <f>Q13*(1+Input!$B$36)</f>
        <v>5788.125</v>
      </c>
      <c r="U13" s="47">
        <f>R13*(1+Input!$B$36)</f>
        <v>5788.125</v>
      </c>
      <c r="V13" s="47">
        <f>S13*(1+Input!$B$36)</f>
        <v>6077.53125</v>
      </c>
      <c r="W13" s="47">
        <f>T13*(1+Input!$B$36)</f>
        <v>6077.53125</v>
      </c>
      <c r="X13" s="47">
        <f>U13*(1+Input!$B$36)</f>
        <v>6077.53125</v>
      </c>
      <c r="Y13" s="47">
        <f>V13*(1+Input!$B$36)</f>
        <v>6381.4078125000005</v>
      </c>
      <c r="Z13" s="47">
        <f>W13*(1+Input!$B$36)</f>
        <v>6381.4078125000005</v>
      </c>
      <c r="AA13" s="47">
        <f>X13*(1+Input!$B$36)</f>
        <v>6381.4078125000005</v>
      </c>
      <c r="AB13" s="47">
        <f>Y13*(1+Input!$B$36)</f>
        <v>6700.4782031250006</v>
      </c>
      <c r="AC13" s="47">
        <f>Z13*(1+Input!$B$36)</f>
        <v>6700.4782031250006</v>
      </c>
      <c r="AD13" s="47">
        <f>AA13*(1+Input!$B$36)</f>
        <v>6700.4782031250006</v>
      </c>
      <c r="AE13" s="47">
        <f>AB13*(1+Input!$B$36)</f>
        <v>7035.5021132812508</v>
      </c>
      <c r="AF13" s="47">
        <f>AC13*(1+Input!$B$36)</f>
        <v>7035.5021132812508</v>
      </c>
      <c r="AG13" s="47">
        <f>AD13*(1+Input!$B$36)</f>
        <v>7035.5021132812508</v>
      </c>
      <c r="AH13" s="47">
        <f>AE13*(1+Input!$B$36)</f>
        <v>7387.2772189453135</v>
      </c>
      <c r="AI13" s="47">
        <f>AF13*(1+Input!$B$36)</f>
        <v>7387.2772189453135</v>
      </c>
      <c r="AJ13" s="47">
        <f>AG13*(1+Input!$B$36)</f>
        <v>7387.2772189453135</v>
      </c>
    </row>
    <row r="14" spans="1:36" x14ac:dyDescent="0.25">
      <c r="E14" s="47" t="str">
        <f>Input!A322</f>
        <v>Internet &amp; Communication</v>
      </c>
      <c r="J14" s="47">
        <f>Input!$B$322/Input!$B$30</f>
        <v>4500</v>
      </c>
      <c r="K14" s="47">
        <f>Input!$B$322/Input!$B$30</f>
        <v>4500</v>
      </c>
      <c r="L14" s="47">
        <f>Input!$B$322/Input!$B$30</f>
        <v>4500</v>
      </c>
      <c r="M14" s="47">
        <f>J14*(1+Input!$B$36)</f>
        <v>4725</v>
      </c>
      <c r="N14" s="47">
        <f>K14*(1+Input!$B$36)</f>
        <v>4725</v>
      </c>
      <c r="O14" s="47">
        <f>L14*(1+Input!$B$36)</f>
        <v>4725</v>
      </c>
      <c r="P14" s="47">
        <f>M14*(1+Input!$B$36)</f>
        <v>4961.25</v>
      </c>
      <c r="Q14" s="47">
        <f>N14*(1+Input!$B$36)</f>
        <v>4961.25</v>
      </c>
      <c r="R14" s="47">
        <f>O14*(1+Input!$B$36)</f>
        <v>4961.25</v>
      </c>
      <c r="S14" s="47">
        <f>P14*(1+Input!$B$36)</f>
        <v>5209.3125</v>
      </c>
      <c r="T14" s="47">
        <f>Q14*(1+Input!$B$36)</f>
        <v>5209.3125</v>
      </c>
      <c r="U14" s="47">
        <f>R14*(1+Input!$B$36)</f>
        <v>5209.3125</v>
      </c>
      <c r="V14" s="47">
        <f>S14*(1+Input!$B$36)</f>
        <v>5469.7781249999998</v>
      </c>
      <c r="W14" s="47">
        <f>T14*(1+Input!$B$36)</f>
        <v>5469.7781249999998</v>
      </c>
      <c r="X14" s="47">
        <f>U14*(1+Input!$B$36)</f>
        <v>5469.7781249999998</v>
      </c>
      <c r="Y14" s="47">
        <f>V14*(1+Input!$B$36)</f>
        <v>5743.2670312500004</v>
      </c>
      <c r="Z14" s="47">
        <f>W14*(1+Input!$B$36)</f>
        <v>5743.2670312500004</v>
      </c>
      <c r="AA14" s="47">
        <f>X14*(1+Input!$B$36)</f>
        <v>5743.2670312500004</v>
      </c>
      <c r="AB14" s="47">
        <f>Y14*(1+Input!$B$36)</f>
        <v>6030.4303828125003</v>
      </c>
      <c r="AC14" s="47">
        <f>Z14*(1+Input!$B$36)</f>
        <v>6030.4303828125003</v>
      </c>
      <c r="AD14" s="47">
        <f>AA14*(1+Input!$B$36)</f>
        <v>6030.4303828125003</v>
      </c>
      <c r="AE14" s="47">
        <f>AB14*(1+Input!$B$36)</f>
        <v>6331.9519019531253</v>
      </c>
      <c r="AF14" s="47">
        <f>AC14*(1+Input!$B$36)</f>
        <v>6331.9519019531253</v>
      </c>
      <c r="AG14" s="47">
        <f>AD14*(1+Input!$B$36)</f>
        <v>6331.9519019531253</v>
      </c>
      <c r="AH14" s="47">
        <f>AE14*(1+Input!$B$36)</f>
        <v>6648.5494970507816</v>
      </c>
      <c r="AI14" s="47">
        <f>AF14*(1+Input!$B$36)</f>
        <v>6648.5494970507816</v>
      </c>
      <c r="AJ14" s="47">
        <f>AG14*(1+Input!$B$36)</f>
        <v>6648.5494970507816</v>
      </c>
    </row>
    <row r="15" spans="1:36" x14ac:dyDescent="0.25">
      <c r="E15" s="47" t="str">
        <f>Input!A323</f>
        <v>Professional fees</v>
      </c>
      <c r="J15" s="47">
        <f>Input!$B$323/Input!$B$30</f>
        <v>6666.666666666667</v>
      </c>
      <c r="K15" s="47">
        <f>Input!$B$323/Input!$B$30</f>
        <v>6666.666666666667</v>
      </c>
      <c r="L15" s="47">
        <f>Input!$B$323/Input!$B$30</f>
        <v>6666.666666666667</v>
      </c>
      <c r="M15" s="47">
        <f>J15*(1+Input!$B$36)</f>
        <v>7000.0000000000009</v>
      </c>
      <c r="N15" s="47">
        <f>K15*(1+Input!$B$36)</f>
        <v>7000.0000000000009</v>
      </c>
      <c r="O15" s="47">
        <f>L15*(1+Input!$B$36)</f>
        <v>7000.0000000000009</v>
      </c>
      <c r="P15" s="47">
        <f>M15*(1+Input!$B$36)</f>
        <v>7350.0000000000009</v>
      </c>
      <c r="Q15" s="47">
        <f>N15*(1+Input!$B$36)</f>
        <v>7350.0000000000009</v>
      </c>
      <c r="R15" s="47">
        <f>O15*(1+Input!$B$36)</f>
        <v>7350.0000000000009</v>
      </c>
      <c r="S15" s="47">
        <f>P15*(1+Input!$B$36)</f>
        <v>7717.5000000000009</v>
      </c>
      <c r="T15" s="47">
        <f>Q15*(1+Input!$B$36)</f>
        <v>7717.5000000000009</v>
      </c>
      <c r="U15" s="47">
        <f>R15*(1+Input!$B$36)</f>
        <v>7717.5000000000009</v>
      </c>
      <c r="V15" s="47">
        <f>S15*(1+Input!$B$36)</f>
        <v>8103.3750000000009</v>
      </c>
      <c r="W15" s="47">
        <f>T15*(1+Input!$B$36)</f>
        <v>8103.3750000000009</v>
      </c>
      <c r="X15" s="47">
        <f>U15*(1+Input!$B$36)</f>
        <v>8103.3750000000009</v>
      </c>
      <c r="Y15" s="47">
        <f>V15*(1+Input!$B$36)</f>
        <v>8508.5437500000007</v>
      </c>
      <c r="Z15" s="47">
        <f>W15*(1+Input!$B$36)</f>
        <v>8508.5437500000007</v>
      </c>
      <c r="AA15" s="47">
        <f>X15*(1+Input!$B$36)</f>
        <v>8508.5437500000007</v>
      </c>
      <c r="AB15" s="47">
        <f>Y15*(1+Input!$B$36)</f>
        <v>8933.970937500002</v>
      </c>
      <c r="AC15" s="47">
        <f>Z15*(1+Input!$B$36)</f>
        <v>8933.970937500002</v>
      </c>
      <c r="AD15" s="47">
        <f>AA15*(1+Input!$B$36)</f>
        <v>8933.970937500002</v>
      </c>
      <c r="AE15" s="47">
        <f>AB15*(1+Input!$B$36)</f>
        <v>9380.6694843750029</v>
      </c>
      <c r="AF15" s="47">
        <f>AC15*(1+Input!$B$36)</f>
        <v>9380.6694843750029</v>
      </c>
      <c r="AG15" s="47">
        <f>AD15*(1+Input!$B$36)</f>
        <v>9380.6694843750029</v>
      </c>
      <c r="AH15" s="47">
        <f>AE15*(1+Input!$B$36)</f>
        <v>9849.7029585937526</v>
      </c>
      <c r="AI15" s="47">
        <f>AF15*(1+Input!$B$36)</f>
        <v>9849.7029585937526</v>
      </c>
      <c r="AJ15" s="47">
        <f>AG15*(1+Input!$B$36)</f>
        <v>9849.7029585937526</v>
      </c>
    </row>
    <row r="16" spans="1:36" x14ac:dyDescent="0.25">
      <c r="E16" s="47" t="str">
        <f>Input!A324</f>
        <v>Training</v>
      </c>
      <c r="J16" s="47">
        <f>Input!$B$324/Input!$B$30</f>
        <v>666.66666666666663</v>
      </c>
      <c r="K16" s="47">
        <f>Input!$B$324/Input!$B$30</f>
        <v>666.66666666666663</v>
      </c>
      <c r="L16" s="47">
        <f>Input!$B$324/Input!$B$30</f>
        <v>666.66666666666663</v>
      </c>
      <c r="M16" s="47">
        <f>J16*(1+Input!$B$36)</f>
        <v>700</v>
      </c>
      <c r="N16" s="47">
        <f>K16*(1+Input!$B$36)</f>
        <v>700</v>
      </c>
      <c r="O16" s="47">
        <f>L16*(1+Input!$B$36)</f>
        <v>700</v>
      </c>
      <c r="P16" s="47">
        <f>M16*(1+Input!$B$36)</f>
        <v>735</v>
      </c>
      <c r="Q16" s="47">
        <f>N16*(1+Input!$B$36)</f>
        <v>735</v>
      </c>
      <c r="R16" s="47">
        <f>O16*(1+Input!$B$36)</f>
        <v>735</v>
      </c>
      <c r="S16" s="47">
        <f>P16*(1+Input!$B$36)</f>
        <v>771.75</v>
      </c>
      <c r="T16" s="47">
        <f>Q16*(1+Input!$B$36)</f>
        <v>771.75</v>
      </c>
      <c r="U16" s="47">
        <f>R16*(1+Input!$B$36)</f>
        <v>771.75</v>
      </c>
      <c r="V16" s="47">
        <f>S16*(1+Input!$B$36)</f>
        <v>810.33750000000009</v>
      </c>
      <c r="W16" s="47">
        <f>T16*(1+Input!$B$36)</f>
        <v>810.33750000000009</v>
      </c>
      <c r="X16" s="47">
        <f>U16*(1+Input!$B$36)</f>
        <v>810.33750000000009</v>
      </c>
      <c r="Y16" s="47">
        <f>V16*(1+Input!$B$36)</f>
        <v>850.85437500000012</v>
      </c>
      <c r="Z16" s="47">
        <f>W16*(1+Input!$B$36)</f>
        <v>850.85437500000012</v>
      </c>
      <c r="AA16" s="47">
        <f>X16*(1+Input!$B$36)</f>
        <v>850.85437500000012</v>
      </c>
      <c r="AB16" s="47">
        <f>Y16*(1+Input!$B$36)</f>
        <v>893.39709375000018</v>
      </c>
      <c r="AC16" s="47">
        <f>Z16*(1+Input!$B$36)</f>
        <v>893.39709375000018</v>
      </c>
      <c r="AD16" s="47">
        <f>AA16*(1+Input!$B$36)</f>
        <v>893.39709375000018</v>
      </c>
      <c r="AE16" s="47">
        <f>AB16*(1+Input!$B$36)</f>
        <v>938.06694843750017</v>
      </c>
      <c r="AF16" s="47">
        <f>AC16*(1+Input!$B$36)</f>
        <v>938.06694843750017</v>
      </c>
      <c r="AG16" s="47">
        <f>AD16*(1+Input!$B$36)</f>
        <v>938.06694843750017</v>
      </c>
      <c r="AH16" s="47">
        <f>AE16*(1+Input!$B$36)</f>
        <v>984.97029585937526</v>
      </c>
      <c r="AI16" s="47">
        <f>AF16*(1+Input!$B$36)</f>
        <v>984.97029585937526</v>
      </c>
      <c r="AJ16" s="47">
        <f>AG16*(1+Input!$B$36)</f>
        <v>984.97029585937526</v>
      </c>
    </row>
    <row r="17" spans="5:36" x14ac:dyDescent="0.25">
      <c r="E17" s="47" t="str">
        <f>Input!A325</f>
        <v>General Maintenance</v>
      </c>
      <c r="J17" s="47">
        <f>Input!$B$325/Input!$B$30</f>
        <v>33.333333333333336</v>
      </c>
      <c r="K17" s="47">
        <f>Input!$B$325/Input!$B$30</f>
        <v>33.333333333333336</v>
      </c>
      <c r="L17" s="47">
        <f>Input!$B$325/Input!$B$30</f>
        <v>33.333333333333336</v>
      </c>
      <c r="M17" s="47">
        <f>J17*(1+Input!$B$36)</f>
        <v>35.000000000000007</v>
      </c>
      <c r="N17" s="47">
        <f>K17*(1+Input!$B$36)</f>
        <v>35.000000000000007</v>
      </c>
      <c r="O17" s="47">
        <f>L17*(1+Input!$B$36)</f>
        <v>35.000000000000007</v>
      </c>
      <c r="P17" s="47">
        <f>M17*(1+Input!$B$36)</f>
        <v>36.750000000000007</v>
      </c>
      <c r="Q17" s="47">
        <f>N17*(1+Input!$B$36)</f>
        <v>36.750000000000007</v>
      </c>
      <c r="R17" s="47">
        <f>O17*(1+Input!$B$36)</f>
        <v>36.750000000000007</v>
      </c>
      <c r="S17" s="47">
        <f>P17*(1+Input!$B$36)</f>
        <v>38.587500000000006</v>
      </c>
      <c r="T17" s="47">
        <f>Q17*(1+Input!$B$36)</f>
        <v>38.587500000000006</v>
      </c>
      <c r="U17" s="47">
        <f>R17*(1+Input!$B$36)</f>
        <v>38.587500000000006</v>
      </c>
      <c r="V17" s="47">
        <f>S17*(1+Input!$B$36)</f>
        <v>40.516875000000006</v>
      </c>
      <c r="W17" s="47">
        <f>T17*(1+Input!$B$36)</f>
        <v>40.516875000000006</v>
      </c>
      <c r="X17" s="47">
        <f>U17*(1+Input!$B$36)</f>
        <v>40.516875000000006</v>
      </c>
      <c r="Y17" s="47">
        <f>V17*(1+Input!$B$36)</f>
        <v>42.542718750000006</v>
      </c>
      <c r="Z17" s="47">
        <f>W17*(1+Input!$B$36)</f>
        <v>42.542718750000006</v>
      </c>
      <c r="AA17" s="47">
        <f>X17*(1+Input!$B$36)</f>
        <v>42.542718750000006</v>
      </c>
      <c r="AB17" s="47">
        <f>Y17*(1+Input!$B$36)</f>
        <v>44.669854687500006</v>
      </c>
      <c r="AC17" s="47">
        <f>Z17*(1+Input!$B$36)</f>
        <v>44.669854687500006</v>
      </c>
      <c r="AD17" s="47">
        <f>AA17*(1+Input!$B$36)</f>
        <v>44.669854687500006</v>
      </c>
      <c r="AE17" s="47">
        <f>AB17*(1+Input!$B$36)</f>
        <v>46.903347421875011</v>
      </c>
      <c r="AF17" s="47">
        <f>AC17*(1+Input!$B$36)</f>
        <v>46.903347421875011</v>
      </c>
      <c r="AG17" s="47">
        <f>AD17*(1+Input!$B$36)</f>
        <v>46.903347421875011</v>
      </c>
      <c r="AH17" s="47">
        <f>AE17*(1+Input!$B$36)</f>
        <v>49.248514792968763</v>
      </c>
      <c r="AI17" s="47">
        <f>AF17*(1+Input!$B$36)</f>
        <v>49.248514792968763</v>
      </c>
      <c r="AJ17" s="47">
        <f>AG17*(1+Input!$B$36)</f>
        <v>49.248514792968763</v>
      </c>
    </row>
    <row r="18" spans="5:36" x14ac:dyDescent="0.25">
      <c r="E18" s="47" t="str">
        <f>Input!A326</f>
        <v>Miscellenous</v>
      </c>
      <c r="J18" s="47">
        <f>Input!$B$326/Input!$B$30</f>
        <v>1666.6666666666667</v>
      </c>
      <c r="K18" s="47">
        <f>Input!$B$326/Input!$B$30</f>
        <v>1666.6666666666667</v>
      </c>
      <c r="L18" s="47">
        <f>Input!$B$326/Input!$B$30</f>
        <v>1666.6666666666667</v>
      </c>
      <c r="M18" s="47">
        <f>J18*(1+Input!$B$36)</f>
        <v>1750.0000000000002</v>
      </c>
      <c r="N18" s="47">
        <f>K18*(1+Input!$B$36)</f>
        <v>1750.0000000000002</v>
      </c>
      <c r="O18" s="47">
        <f>L18*(1+Input!$B$36)</f>
        <v>1750.0000000000002</v>
      </c>
      <c r="P18" s="47">
        <f>M18*(1+Input!$B$36)</f>
        <v>1837.5000000000002</v>
      </c>
      <c r="Q18" s="47">
        <f>N18*(1+Input!$B$36)</f>
        <v>1837.5000000000002</v>
      </c>
      <c r="R18" s="47">
        <f>O18*(1+Input!$B$36)</f>
        <v>1837.5000000000002</v>
      </c>
      <c r="S18" s="47">
        <f>P18*(1+Input!$B$36)</f>
        <v>1929.3750000000002</v>
      </c>
      <c r="T18" s="47">
        <f>Q18*(1+Input!$B$36)</f>
        <v>1929.3750000000002</v>
      </c>
      <c r="U18" s="47">
        <f>R18*(1+Input!$B$36)</f>
        <v>1929.3750000000002</v>
      </c>
      <c r="V18" s="47">
        <f>S18*(1+Input!$B$36)</f>
        <v>2025.8437500000002</v>
      </c>
      <c r="W18" s="47">
        <f>T18*(1+Input!$B$36)</f>
        <v>2025.8437500000002</v>
      </c>
      <c r="X18" s="47">
        <f>U18*(1+Input!$B$36)</f>
        <v>2025.8437500000002</v>
      </c>
      <c r="Y18" s="47">
        <f>V18*(1+Input!$B$36)</f>
        <v>2127.1359375000002</v>
      </c>
      <c r="Z18" s="47">
        <f>W18*(1+Input!$B$36)</f>
        <v>2127.1359375000002</v>
      </c>
      <c r="AA18" s="47">
        <f>X18*(1+Input!$B$36)</f>
        <v>2127.1359375000002</v>
      </c>
      <c r="AB18" s="47">
        <f>Y18*(1+Input!$B$36)</f>
        <v>2233.4927343750005</v>
      </c>
      <c r="AC18" s="47">
        <f>Z18*(1+Input!$B$36)</f>
        <v>2233.4927343750005</v>
      </c>
      <c r="AD18" s="47">
        <f>AA18*(1+Input!$B$36)</f>
        <v>2233.4927343750005</v>
      </c>
      <c r="AE18" s="47">
        <f>AB18*(1+Input!$B$36)</f>
        <v>2345.1673710937507</v>
      </c>
      <c r="AF18" s="47">
        <f>AC18*(1+Input!$B$36)</f>
        <v>2345.1673710937507</v>
      </c>
      <c r="AG18" s="47">
        <f>AD18*(1+Input!$B$36)</f>
        <v>2345.1673710937507</v>
      </c>
      <c r="AH18" s="47">
        <f>AE18*(1+Input!$B$36)</f>
        <v>2462.4257396484381</v>
      </c>
      <c r="AI18" s="47">
        <f>AF18*(1+Input!$B$36)</f>
        <v>2462.4257396484381</v>
      </c>
      <c r="AJ18" s="47">
        <f>AG18*(1+Input!$B$36)</f>
        <v>2462.4257396484381</v>
      </c>
    </row>
    <row r="19" spans="5:36" x14ac:dyDescent="0.25">
      <c r="E19" s="50" t="s">
        <v>114</v>
      </c>
      <c r="J19" s="76">
        <f>SUM(J8:J18)</f>
        <v>32366.666666666672</v>
      </c>
      <c r="K19" s="76">
        <f t="shared" ref="K19:AJ19" si="0">SUM(K8:K18)</f>
        <v>24366.666666666668</v>
      </c>
      <c r="L19" s="76">
        <f t="shared" si="0"/>
        <v>24366.666666666668</v>
      </c>
      <c r="M19" s="76">
        <f t="shared" si="0"/>
        <v>25585</v>
      </c>
      <c r="N19" s="76">
        <f t="shared" si="0"/>
        <v>25585</v>
      </c>
      <c r="O19" s="76">
        <f t="shared" si="0"/>
        <v>25585</v>
      </c>
      <c r="P19" s="76">
        <f t="shared" si="0"/>
        <v>26864.25</v>
      </c>
      <c r="Q19" s="76">
        <f t="shared" si="0"/>
        <v>26864.25</v>
      </c>
      <c r="R19" s="76">
        <f t="shared" si="0"/>
        <v>26864.25</v>
      </c>
      <c r="S19" s="76">
        <f t="shared" si="0"/>
        <v>28207.462500000001</v>
      </c>
      <c r="T19" s="76">
        <f t="shared" si="0"/>
        <v>28207.462500000001</v>
      </c>
      <c r="U19" s="76">
        <f t="shared" si="0"/>
        <v>28207.462500000001</v>
      </c>
      <c r="V19" s="76">
        <f t="shared" si="0"/>
        <v>29617.835625000003</v>
      </c>
      <c r="W19" s="76">
        <f t="shared" si="0"/>
        <v>29617.835625000003</v>
      </c>
      <c r="X19" s="76">
        <f t="shared" si="0"/>
        <v>29617.835625000003</v>
      </c>
      <c r="Y19" s="76">
        <f t="shared" si="0"/>
        <v>31098.72740625</v>
      </c>
      <c r="Z19" s="76">
        <f t="shared" si="0"/>
        <v>31098.72740625</v>
      </c>
      <c r="AA19" s="76">
        <f t="shared" si="0"/>
        <v>31098.72740625</v>
      </c>
      <c r="AB19" s="76">
        <f t="shared" si="0"/>
        <v>32653.663776562506</v>
      </c>
      <c r="AC19" s="76">
        <f t="shared" si="0"/>
        <v>32653.663776562506</v>
      </c>
      <c r="AD19" s="76">
        <f t="shared" si="0"/>
        <v>32653.663776562506</v>
      </c>
      <c r="AE19" s="76">
        <f t="shared" si="0"/>
        <v>34286.346965390629</v>
      </c>
      <c r="AF19" s="76">
        <f t="shared" si="0"/>
        <v>34286.346965390629</v>
      </c>
      <c r="AG19" s="76">
        <f t="shared" si="0"/>
        <v>34286.346965390629</v>
      </c>
      <c r="AH19" s="76">
        <f t="shared" si="0"/>
        <v>36000.664313660163</v>
      </c>
      <c r="AI19" s="76">
        <f t="shared" si="0"/>
        <v>36000.664313660163</v>
      </c>
      <c r="AJ19" s="76">
        <f t="shared" si="0"/>
        <v>36000.664313660163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D2E18-CDC0-45D9-9F56-182DEE8E0407}">
  <sheetPr codeName="Sheet10">
    <tabColor rgb="FF92D050"/>
  </sheetPr>
  <dimension ref="A1:V81"/>
  <sheetViews>
    <sheetView showGridLines="0" zoomScale="85" zoomScaleNormal="85" workbookViewId="0">
      <pane xSplit="9" ySplit="4" topLeftCell="J5" activePane="bottomRight" state="frozen"/>
      <selection activeCell="F31" sqref="F31"/>
      <selection pane="topRight" activeCell="F31" sqref="F31"/>
      <selection pane="bottomLeft" activeCell="F31" sqref="F31"/>
      <selection pane="bottomRight" activeCell="J5" sqref="J5"/>
    </sheetView>
  </sheetViews>
  <sheetFormatPr defaultRowHeight="15" x14ac:dyDescent="0.25"/>
  <cols>
    <col min="1" max="4" width="2.28515625" style="47" customWidth="1"/>
    <col min="5" max="6" width="9.140625" style="47"/>
    <col min="7" max="7" width="11.7109375" style="57" customWidth="1"/>
    <col min="8" max="8" width="9.28515625" style="57" bestFit="1" customWidth="1"/>
    <col min="9" max="9" width="2.7109375" style="47" customWidth="1"/>
    <col min="10" max="18" width="16.85546875" style="46" customWidth="1"/>
    <col min="19" max="19" width="9.140625" style="47"/>
    <col min="20" max="20" width="17.7109375" style="47" customWidth="1"/>
    <col min="21" max="21" width="10.5703125" style="47" bestFit="1" customWidth="1"/>
    <col min="22" max="22" width="9.28515625" style="47" bestFit="1" customWidth="1"/>
    <col min="23" max="31" width="9.140625" style="47"/>
    <col min="32" max="34" width="9.140625" style="47" customWidth="1"/>
    <col min="35" max="39" width="9.140625" style="47"/>
    <col min="40" max="40" width="9.140625" style="47" customWidth="1"/>
    <col min="41" max="16384" width="9.140625" style="47"/>
  </cols>
  <sheetData>
    <row r="1" spans="1:22" ht="34.5" x14ac:dyDescent="0.55000000000000004">
      <c r="A1" s="48" t="s">
        <v>92</v>
      </c>
    </row>
    <row r="2" spans="1:22" s="50" customFormat="1" x14ac:dyDescent="0.25">
      <c r="G2" s="59"/>
      <c r="H2" s="59"/>
      <c r="J2" s="52" t="s">
        <v>75</v>
      </c>
      <c r="K2" s="52" t="s">
        <v>119</v>
      </c>
      <c r="L2" s="52" t="s">
        <v>120</v>
      </c>
      <c r="M2" s="52" t="s">
        <v>121</v>
      </c>
      <c r="N2" s="52" t="s">
        <v>122</v>
      </c>
      <c r="O2" s="52" t="s">
        <v>123</v>
      </c>
      <c r="P2" s="52" t="s">
        <v>124</v>
      </c>
      <c r="Q2" s="52" t="s">
        <v>125</v>
      </c>
      <c r="R2" s="52" t="s">
        <v>126</v>
      </c>
    </row>
    <row r="3" spans="1:22" x14ac:dyDescent="0.25">
      <c r="J3" s="53">
        <v>45536</v>
      </c>
      <c r="K3" s="54">
        <v>45901</v>
      </c>
      <c r="L3" s="53">
        <v>46266</v>
      </c>
      <c r="M3" s="54">
        <v>46631</v>
      </c>
      <c r="N3" s="53">
        <v>46997</v>
      </c>
      <c r="O3" s="54">
        <v>47362</v>
      </c>
      <c r="P3" s="53">
        <v>47727</v>
      </c>
      <c r="Q3" s="54">
        <v>48092</v>
      </c>
      <c r="R3" s="53">
        <v>48458</v>
      </c>
    </row>
    <row r="4" spans="1:22" x14ac:dyDescent="0.25">
      <c r="I4" s="47">
        <v>0</v>
      </c>
      <c r="J4" s="46">
        <v>1</v>
      </c>
      <c r="K4" s="46">
        <v>2</v>
      </c>
      <c r="L4" s="46">
        <v>3</v>
      </c>
      <c r="M4" s="46">
        <v>4</v>
      </c>
      <c r="N4" s="46">
        <v>5</v>
      </c>
      <c r="O4" s="46">
        <v>6</v>
      </c>
      <c r="P4" s="46">
        <v>7</v>
      </c>
      <c r="Q4" s="46">
        <v>8</v>
      </c>
      <c r="R4" s="46">
        <v>9</v>
      </c>
    </row>
    <row r="5" spans="1:22" s="50" customFormat="1" x14ac:dyDescent="0.25">
      <c r="B5" s="50" t="s">
        <v>118</v>
      </c>
      <c r="G5" s="59"/>
      <c r="H5" s="59"/>
      <c r="J5" s="55"/>
      <c r="K5" s="55"/>
      <c r="L5" s="55"/>
      <c r="M5" s="55"/>
      <c r="N5" s="55"/>
      <c r="O5" s="55"/>
      <c r="P5" s="55"/>
      <c r="Q5" s="55"/>
      <c r="R5" s="55"/>
    </row>
    <row r="6" spans="1:22" s="50" customFormat="1" x14ac:dyDescent="0.25">
      <c r="E6" s="50" t="s">
        <v>127</v>
      </c>
      <c r="G6" s="59"/>
      <c r="H6" s="59"/>
      <c r="J6" s="46">
        <f>I9</f>
        <v>0</v>
      </c>
      <c r="K6" s="46">
        <f t="shared" ref="K6:R6" ca="1" si="0">J9</f>
        <v>22719621.600000001</v>
      </c>
      <c r="L6" s="46">
        <f t="shared" ca="1" si="0"/>
        <v>20195219.200000003</v>
      </c>
      <c r="M6" s="46">
        <f t="shared" ca="1" si="0"/>
        <v>17670816.800000004</v>
      </c>
      <c r="N6" s="46">
        <f t="shared" ca="1" si="0"/>
        <v>15146414.400000004</v>
      </c>
      <c r="O6" s="46">
        <f t="shared" ca="1" si="0"/>
        <v>12622012.000000004</v>
      </c>
      <c r="P6" s="46">
        <f t="shared" ca="1" si="0"/>
        <v>10097609.600000003</v>
      </c>
      <c r="Q6" s="46">
        <f t="shared" ca="1" si="0"/>
        <v>7573207.200000003</v>
      </c>
      <c r="R6" s="46">
        <f t="shared" ca="1" si="0"/>
        <v>5048804.8000000026</v>
      </c>
    </row>
    <row r="7" spans="1:22" s="50" customFormat="1" x14ac:dyDescent="0.25">
      <c r="E7" s="50" t="s">
        <v>128</v>
      </c>
      <c r="G7" s="59"/>
      <c r="H7" s="59"/>
      <c r="J7" s="46" cm="1">
        <f t="array" aca="1" ref="J7" ca="1">SUMPRODUCT(($E$13:$E$80=$E7)*($J$3:$R$3=J$3)*(J$13:J$80))</f>
        <v>25244024</v>
      </c>
      <c r="K7" s="46" cm="1">
        <f t="array" aca="1" ref="K7" ca="1">SUMPRODUCT(($E$13:$E$80=$E7)*($J$3:$R$3=K$3)*(K$13:K$80))</f>
        <v>0</v>
      </c>
      <c r="L7" s="46" cm="1">
        <f t="array" aca="1" ref="L7" ca="1">SUMPRODUCT(($E$13:$E$80=$E7)*($J$3:$R$3=L$3)*(L$13:L$80))</f>
        <v>0</v>
      </c>
      <c r="M7" s="46" cm="1">
        <f t="array" aca="1" ref="M7" ca="1">SUMPRODUCT(($E$13:$E$80=$E7)*($J$3:$R$3=M$3)*(M$13:M$80))</f>
        <v>0</v>
      </c>
      <c r="N7" s="46" cm="1">
        <f t="array" aca="1" ref="N7" ca="1">SUMPRODUCT(($E$13:$E$80=$E7)*($J$3:$R$3=N$3)*(N$13:N$80))</f>
        <v>0</v>
      </c>
      <c r="O7" s="46" cm="1">
        <f t="array" aca="1" ref="O7" ca="1">SUMPRODUCT(($E$13:$E$80=$E7)*($J$3:$R$3=O$3)*(O$13:O$80))</f>
        <v>0</v>
      </c>
      <c r="P7" s="46" cm="1">
        <f t="array" aca="1" ref="P7" ca="1">SUMPRODUCT(($E$13:$E$80=$E7)*($J$3:$R$3=P$3)*(P$13:P$80))</f>
        <v>0</v>
      </c>
      <c r="Q7" s="46" cm="1">
        <f t="array" aca="1" ref="Q7" ca="1">SUMPRODUCT(($E$13:$E$80=$E7)*($J$3:$R$3=Q$3)*(Q$13:Q$80))</f>
        <v>0</v>
      </c>
      <c r="R7" s="46" cm="1">
        <f t="array" aca="1" ref="R7" ca="1">SUMPRODUCT(($E$13:$E$80=$E7)*($J$3:$R$3=R$3)*(R$13:R$80))</f>
        <v>0</v>
      </c>
      <c r="T7" s="50">
        <f>SUMIF($E$13:$E$45,$E7,J$13:J$45)</f>
        <v>24414064</v>
      </c>
      <c r="U7" s="50">
        <f>SUMIF($E$13:$E$45,$E7,K$13:K$45)</f>
        <v>0</v>
      </c>
      <c r="V7" s="50">
        <f t="shared" ref="V7" si="1">SUMIF($E$13:$E$45,G$7,L$13:L$45)</f>
        <v>0</v>
      </c>
    </row>
    <row r="8" spans="1:22" s="50" customFormat="1" x14ac:dyDescent="0.25">
      <c r="E8" s="50" t="s">
        <v>132</v>
      </c>
      <c r="G8" s="59"/>
      <c r="H8" s="59"/>
      <c r="J8" s="46" cm="1">
        <f t="array" aca="1" ref="J8" ca="1">SUMPRODUCT(($E$13:$E$80=$E8)*($J$3:$R$3=J$3)*(J$13:J$80))</f>
        <v>-2524402.4</v>
      </c>
      <c r="K8" s="46" cm="1">
        <f t="array" aca="1" ref="K8" ca="1">SUMPRODUCT(($E$13:$E$80=$E8)*($J$3:$R$3=K$3)*(K$13:K$80))</f>
        <v>-2524402.4</v>
      </c>
      <c r="L8" s="46" cm="1">
        <f t="array" aca="1" ref="L8" ca="1">SUMPRODUCT(($E$13:$E$80=$E8)*($J$3:$R$3=L$3)*(L$13:L$80))</f>
        <v>-2524402.4</v>
      </c>
      <c r="M8" s="46" cm="1">
        <f t="array" aca="1" ref="M8" ca="1">SUMPRODUCT(($E$13:$E$80=$E8)*($J$3:$R$3=M$3)*(M$13:M$80))</f>
        <v>-2524402.4</v>
      </c>
      <c r="N8" s="46" cm="1">
        <f t="array" aca="1" ref="N8" ca="1">SUMPRODUCT(($E$13:$E$80=$E8)*($J$3:$R$3=N$3)*(N$13:N$80))</f>
        <v>-2524402.4</v>
      </c>
      <c r="O8" s="46" cm="1">
        <f t="array" aca="1" ref="O8" ca="1">SUMPRODUCT(($E$13:$E$80=$E8)*($J$3:$R$3=O$3)*(O$13:O$80))</f>
        <v>-2524402.4</v>
      </c>
      <c r="P8" s="46" cm="1">
        <f t="array" aca="1" ref="P8" ca="1">SUMPRODUCT(($E$13:$E$80=$E8)*($J$3:$R$3=P$3)*(P$13:P$80))</f>
        <v>-2524402.4</v>
      </c>
      <c r="Q8" s="46" cm="1">
        <f t="array" aca="1" ref="Q8" ca="1">SUMPRODUCT(($E$13:$E$80=$E8)*($J$3:$R$3=Q$3)*(Q$13:Q$80))</f>
        <v>-2524402.4</v>
      </c>
      <c r="R8" s="46" cm="1">
        <f t="array" aca="1" ref="R8" ca="1">SUMPRODUCT(($E$13:$E$80=$E8)*($J$3:$R$3=R$3)*(R$13:R$80))</f>
        <v>-2524402.4</v>
      </c>
      <c r="T8" s="50">
        <f ca="1">SUMIF($E$13:$E$45,$E8,J$13:J$45)</f>
        <v>-2441406.4</v>
      </c>
      <c r="U8" s="50">
        <f ca="1">SUMIF($E$13:$E$45,$E8,K$13:K$45)</f>
        <v>-2441406.4</v>
      </c>
    </row>
    <row r="9" spans="1:22" s="50" customFormat="1" x14ac:dyDescent="0.25">
      <c r="E9" s="50" t="s">
        <v>140</v>
      </c>
      <c r="G9" s="59"/>
      <c r="H9" s="59"/>
      <c r="J9" s="76">
        <f ca="1">J6+J7+J8</f>
        <v>22719621.600000001</v>
      </c>
      <c r="K9" s="76">
        <f t="shared" ref="K9:R9" ca="1" si="2">K6+K7+K8</f>
        <v>20195219.200000003</v>
      </c>
      <c r="L9" s="76">
        <f t="shared" ca="1" si="2"/>
        <v>17670816.800000004</v>
      </c>
      <c r="M9" s="76">
        <f t="shared" ca="1" si="2"/>
        <v>15146414.400000004</v>
      </c>
      <c r="N9" s="76">
        <f t="shared" ca="1" si="2"/>
        <v>12622012.000000004</v>
      </c>
      <c r="O9" s="76">
        <f t="shared" ca="1" si="2"/>
        <v>10097609.600000003</v>
      </c>
      <c r="P9" s="76">
        <f t="shared" ca="1" si="2"/>
        <v>7573207.200000003</v>
      </c>
      <c r="Q9" s="76">
        <f t="shared" ca="1" si="2"/>
        <v>5048804.8000000026</v>
      </c>
      <c r="R9" s="76">
        <f t="shared" ca="1" si="2"/>
        <v>2524402.4000000027</v>
      </c>
      <c r="T9" s="50">
        <f>SUMIF($E$13:$E$45,E$7,J$13:J$45)</f>
        <v>24414064</v>
      </c>
    </row>
    <row r="10" spans="1:22" x14ac:dyDescent="0.25">
      <c r="T10" s="50">
        <f>SUMIF($E$13:$E$45,E$7,J$13:J$45)</f>
        <v>24414064</v>
      </c>
    </row>
    <row r="11" spans="1:22" x14ac:dyDescent="0.25">
      <c r="G11" s="49" t="s">
        <v>130</v>
      </c>
      <c r="H11" s="49" t="s">
        <v>131</v>
      </c>
      <c r="T11" s="50">
        <f>SUMIF($E$13:$E$45,E$7,J$13:J$45)</f>
        <v>24414064</v>
      </c>
    </row>
    <row r="12" spans="1:22" x14ac:dyDescent="0.25">
      <c r="T12" s="50">
        <f>SUMIF($E$13:$E$45,E$7,J$13:J$45)</f>
        <v>24414064</v>
      </c>
    </row>
    <row r="13" spans="1:22" x14ac:dyDescent="0.25">
      <c r="C13" s="47" t="s">
        <v>61</v>
      </c>
      <c r="G13" s="57">
        <f>Input!B329</f>
        <v>23232064</v>
      </c>
      <c r="H13" s="57">
        <f>Input!C329</f>
        <v>10</v>
      </c>
    </row>
    <row r="14" spans="1:22" x14ac:dyDescent="0.25">
      <c r="E14" s="47" t="s">
        <v>127</v>
      </c>
      <c r="J14" s="46">
        <f>I18</f>
        <v>0</v>
      </c>
      <c r="K14" s="46">
        <f t="shared" ref="K14:R14" ca="1" si="3">J18</f>
        <v>20908857.600000001</v>
      </c>
      <c r="L14" s="46">
        <f t="shared" ca="1" si="3"/>
        <v>18585651.200000003</v>
      </c>
      <c r="M14" s="46">
        <f t="shared" ca="1" si="3"/>
        <v>16262444.800000003</v>
      </c>
      <c r="N14" s="46">
        <f t="shared" ca="1" si="3"/>
        <v>13939238.400000002</v>
      </c>
      <c r="O14" s="46">
        <f t="shared" ca="1" si="3"/>
        <v>11616032.000000002</v>
      </c>
      <c r="P14" s="46">
        <f t="shared" ca="1" si="3"/>
        <v>9292825.6000000015</v>
      </c>
      <c r="Q14" s="46">
        <f t="shared" ca="1" si="3"/>
        <v>6969619.2000000011</v>
      </c>
      <c r="R14" s="46">
        <f t="shared" ca="1" si="3"/>
        <v>4646412.8000000007</v>
      </c>
    </row>
    <row r="15" spans="1:22" x14ac:dyDescent="0.25">
      <c r="E15" s="47" t="s">
        <v>128</v>
      </c>
      <c r="J15" s="56">
        <f>G13</f>
        <v>23232064</v>
      </c>
    </row>
    <row r="16" spans="1:22" x14ac:dyDescent="0.25">
      <c r="E16" s="47" t="s">
        <v>133</v>
      </c>
      <c r="J16" s="46">
        <f ca="1">OFFSET(J15,0,-$H13+1,1,$H13)/$H13</f>
        <v>2323206.4</v>
      </c>
      <c r="K16" s="46">
        <f t="shared" ref="K16:R16" ca="1" si="4">OFFSET(K15,0,-$H13+1,1,$H13)/$H13</f>
        <v>0</v>
      </c>
      <c r="L16" s="46">
        <f t="shared" ca="1" si="4"/>
        <v>0</v>
      </c>
      <c r="M16" s="46">
        <f t="shared" ca="1" si="4"/>
        <v>0</v>
      </c>
      <c r="N16" s="46">
        <f t="shared" ca="1" si="4"/>
        <v>0</v>
      </c>
      <c r="O16" s="46">
        <f t="shared" ca="1" si="4"/>
        <v>0</v>
      </c>
      <c r="P16" s="46">
        <f t="shared" ca="1" si="4"/>
        <v>0</v>
      </c>
      <c r="Q16" s="46">
        <f t="shared" ca="1" si="4"/>
        <v>0</v>
      </c>
      <c r="R16" s="46">
        <f t="shared" ca="1" si="4"/>
        <v>0</v>
      </c>
    </row>
    <row r="17" spans="3:18" x14ac:dyDescent="0.25">
      <c r="E17" s="47" t="s">
        <v>132</v>
      </c>
      <c r="J17" s="46">
        <f ca="1">-SUM(OFFSET(J15,0,-$H13+1,1,$H13))/$H13</f>
        <v>-2323206.4</v>
      </c>
      <c r="K17" s="46">
        <f t="shared" ref="K17:R17" ca="1" si="5">-SUM(OFFSET(K15,0,-$H13+1,1,$H13))/$H13</f>
        <v>-2323206.4</v>
      </c>
      <c r="L17" s="46">
        <f t="shared" ca="1" si="5"/>
        <v>-2323206.4</v>
      </c>
      <c r="M17" s="46">
        <f t="shared" ca="1" si="5"/>
        <v>-2323206.4</v>
      </c>
      <c r="N17" s="46">
        <f t="shared" ca="1" si="5"/>
        <v>-2323206.4</v>
      </c>
      <c r="O17" s="46">
        <f t="shared" ca="1" si="5"/>
        <v>-2323206.4</v>
      </c>
      <c r="P17" s="46">
        <f t="shared" ca="1" si="5"/>
        <v>-2323206.4</v>
      </c>
      <c r="Q17" s="46">
        <f t="shared" ca="1" si="5"/>
        <v>-2323206.4</v>
      </c>
      <c r="R17" s="46">
        <f t="shared" ca="1" si="5"/>
        <v>-2323206.4</v>
      </c>
    </row>
    <row r="18" spans="3:18" x14ac:dyDescent="0.25">
      <c r="E18" s="47" t="s">
        <v>129</v>
      </c>
      <c r="J18" s="46">
        <f ca="1">J14+J15+J17</f>
        <v>20908857.600000001</v>
      </c>
      <c r="K18" s="46">
        <f t="shared" ref="K18:R18" ca="1" si="6">K14+K15+K17</f>
        <v>18585651.200000003</v>
      </c>
      <c r="L18" s="46">
        <f t="shared" ca="1" si="6"/>
        <v>16262444.800000003</v>
      </c>
      <c r="M18" s="46">
        <f t="shared" ca="1" si="6"/>
        <v>13939238.400000002</v>
      </c>
      <c r="N18" s="46">
        <f t="shared" ca="1" si="6"/>
        <v>11616032.000000002</v>
      </c>
      <c r="O18" s="46">
        <f t="shared" ca="1" si="6"/>
        <v>9292825.6000000015</v>
      </c>
      <c r="P18" s="46">
        <f t="shared" ca="1" si="6"/>
        <v>6969619.2000000011</v>
      </c>
      <c r="Q18" s="46">
        <f t="shared" ca="1" si="6"/>
        <v>4646412.8000000007</v>
      </c>
      <c r="R18" s="46">
        <f t="shared" ca="1" si="6"/>
        <v>2323206.4000000008</v>
      </c>
    </row>
    <row r="20" spans="3:18" x14ac:dyDescent="0.25">
      <c r="C20" s="47" t="s">
        <v>62</v>
      </c>
      <c r="G20" s="57">
        <f>Input!B330</f>
        <v>300000</v>
      </c>
      <c r="H20" s="57">
        <f>Input!C330</f>
        <v>10</v>
      </c>
    </row>
    <row r="21" spans="3:18" x14ac:dyDescent="0.25">
      <c r="E21" s="47" t="s">
        <v>127</v>
      </c>
      <c r="J21" s="46">
        <f>I25</f>
        <v>0</v>
      </c>
      <c r="K21" s="46">
        <f t="shared" ref="K21:R21" ca="1" si="7">J25</f>
        <v>270000</v>
      </c>
      <c r="L21" s="46">
        <f t="shared" ca="1" si="7"/>
        <v>240000</v>
      </c>
      <c r="M21" s="46">
        <f t="shared" ca="1" si="7"/>
        <v>210000</v>
      </c>
      <c r="N21" s="46">
        <f t="shared" ca="1" si="7"/>
        <v>180000</v>
      </c>
      <c r="O21" s="46">
        <f t="shared" ca="1" si="7"/>
        <v>150000</v>
      </c>
      <c r="P21" s="46">
        <f t="shared" ca="1" si="7"/>
        <v>120000</v>
      </c>
      <c r="Q21" s="46">
        <f t="shared" ca="1" si="7"/>
        <v>90000</v>
      </c>
      <c r="R21" s="46">
        <f t="shared" ca="1" si="7"/>
        <v>60000</v>
      </c>
    </row>
    <row r="22" spans="3:18" x14ac:dyDescent="0.25">
      <c r="E22" s="47" t="s">
        <v>128</v>
      </c>
      <c r="J22" s="56">
        <f>G20</f>
        <v>300000</v>
      </c>
    </row>
    <row r="23" spans="3:18" x14ac:dyDescent="0.25">
      <c r="E23" s="47" t="s">
        <v>133</v>
      </c>
      <c r="J23" s="46">
        <f ca="1">OFFSET(J22,0,-$H20+1,1,$H20)/$H20</f>
        <v>30000</v>
      </c>
      <c r="K23" s="46">
        <f t="shared" ref="K23" ca="1" si="8">OFFSET(K22,0,-$H20+1,1,$H20)/$H20</f>
        <v>0</v>
      </c>
      <c r="L23" s="46">
        <f t="shared" ref="L23" ca="1" si="9">OFFSET(L22,0,-$H20+1,1,$H20)/$H20</f>
        <v>0</v>
      </c>
      <c r="M23" s="46">
        <f t="shared" ref="M23" ca="1" si="10">OFFSET(M22,0,-$H20+1,1,$H20)/$H20</f>
        <v>0</v>
      </c>
      <c r="N23" s="46">
        <f t="shared" ref="N23" ca="1" si="11">OFFSET(N22,0,-$H20+1,1,$H20)/$H20</f>
        <v>0</v>
      </c>
      <c r="O23" s="46">
        <f t="shared" ref="O23" ca="1" si="12">OFFSET(O22,0,-$H20+1,1,$H20)/$H20</f>
        <v>0</v>
      </c>
      <c r="P23" s="46">
        <f t="shared" ref="P23" ca="1" si="13">OFFSET(P22,0,-$H20+1,1,$H20)/$H20</f>
        <v>0</v>
      </c>
      <c r="Q23" s="46">
        <f t="shared" ref="Q23" ca="1" si="14">OFFSET(Q22,0,-$H20+1,1,$H20)/$H20</f>
        <v>0</v>
      </c>
      <c r="R23" s="46">
        <f t="shared" ref="R23" ca="1" si="15">OFFSET(R22,0,-$H20+1,1,$H20)/$H20</f>
        <v>0</v>
      </c>
    </row>
    <row r="24" spans="3:18" x14ac:dyDescent="0.25">
      <c r="E24" s="47" t="s">
        <v>132</v>
      </c>
      <c r="J24" s="46">
        <f ca="1">-SUM(OFFSET(J22,0,-$H20+1,1,$H20))/$H20</f>
        <v>-30000</v>
      </c>
      <c r="K24" s="46">
        <f t="shared" ref="K24:R24" ca="1" si="16">-SUM(OFFSET(K22,0,-$H20+1,1,$H20))/$H20</f>
        <v>-30000</v>
      </c>
      <c r="L24" s="46">
        <f t="shared" ca="1" si="16"/>
        <v>-30000</v>
      </c>
      <c r="M24" s="46">
        <f t="shared" ca="1" si="16"/>
        <v>-30000</v>
      </c>
      <c r="N24" s="46">
        <f t="shared" ca="1" si="16"/>
        <v>-30000</v>
      </c>
      <c r="O24" s="46">
        <f t="shared" ca="1" si="16"/>
        <v>-30000</v>
      </c>
      <c r="P24" s="46">
        <f t="shared" ca="1" si="16"/>
        <v>-30000</v>
      </c>
      <c r="Q24" s="46">
        <f t="shared" ca="1" si="16"/>
        <v>-30000</v>
      </c>
      <c r="R24" s="46">
        <f t="shared" ca="1" si="16"/>
        <v>-30000</v>
      </c>
    </row>
    <row r="25" spans="3:18" x14ac:dyDescent="0.25">
      <c r="E25" s="47" t="s">
        <v>129</v>
      </c>
      <c r="J25" s="46">
        <f ca="1">J21+J22+J24</f>
        <v>270000</v>
      </c>
      <c r="K25" s="46">
        <f t="shared" ref="K25" ca="1" si="17">K21+K22+K24</f>
        <v>240000</v>
      </c>
      <c r="L25" s="46">
        <f t="shared" ref="L25" ca="1" si="18">L21+L22+L24</f>
        <v>210000</v>
      </c>
      <c r="M25" s="46">
        <f t="shared" ref="M25" ca="1" si="19">M21+M22+M24</f>
        <v>180000</v>
      </c>
      <c r="N25" s="46">
        <f t="shared" ref="N25" ca="1" si="20">N21+N22+N24</f>
        <v>150000</v>
      </c>
      <c r="O25" s="46">
        <f t="shared" ref="O25" ca="1" si="21">O21+O22+O24</f>
        <v>120000</v>
      </c>
      <c r="P25" s="46">
        <f t="shared" ref="P25" ca="1" si="22">P21+P22+P24</f>
        <v>90000</v>
      </c>
      <c r="Q25" s="46">
        <f t="shared" ref="Q25" ca="1" si="23">Q21+Q22+Q24</f>
        <v>60000</v>
      </c>
      <c r="R25" s="46">
        <f t="shared" ref="R25" ca="1" si="24">R21+R22+R24</f>
        <v>30000</v>
      </c>
    </row>
    <row r="27" spans="3:18" x14ac:dyDescent="0.25">
      <c r="C27" s="47" t="s">
        <v>63</v>
      </c>
      <c r="G27" s="57">
        <f>Input!B331</f>
        <v>200000</v>
      </c>
      <c r="H27" s="57">
        <f>Input!C331</f>
        <v>10</v>
      </c>
    </row>
    <row r="28" spans="3:18" x14ac:dyDescent="0.25">
      <c r="E28" s="47" t="s">
        <v>127</v>
      </c>
      <c r="J28" s="46">
        <f>I32</f>
        <v>0</v>
      </c>
      <c r="K28" s="46">
        <f t="shared" ref="K28:R28" ca="1" si="25">J32</f>
        <v>180000</v>
      </c>
      <c r="L28" s="46">
        <f t="shared" ca="1" si="25"/>
        <v>160000</v>
      </c>
      <c r="M28" s="46">
        <f t="shared" ca="1" si="25"/>
        <v>140000</v>
      </c>
      <c r="N28" s="46">
        <f t="shared" ca="1" si="25"/>
        <v>120000</v>
      </c>
      <c r="O28" s="46">
        <f t="shared" ca="1" si="25"/>
        <v>100000</v>
      </c>
      <c r="P28" s="46">
        <f t="shared" ca="1" si="25"/>
        <v>80000</v>
      </c>
      <c r="Q28" s="46">
        <f t="shared" ca="1" si="25"/>
        <v>60000</v>
      </c>
      <c r="R28" s="46">
        <f t="shared" ca="1" si="25"/>
        <v>40000</v>
      </c>
    </row>
    <row r="29" spans="3:18" x14ac:dyDescent="0.25">
      <c r="E29" s="47" t="s">
        <v>128</v>
      </c>
      <c r="J29" s="56">
        <f>G27</f>
        <v>200000</v>
      </c>
    </row>
    <row r="30" spans="3:18" x14ac:dyDescent="0.25">
      <c r="E30" s="47" t="s">
        <v>133</v>
      </c>
      <c r="J30" s="46">
        <f ca="1">OFFSET(J29,0,-$H27+1,1,$H27)/$H27</f>
        <v>20000</v>
      </c>
      <c r="K30" s="46">
        <f t="shared" ref="K30" ca="1" si="26">OFFSET(K29,0,-$H27+1,1,$H27)/$H27</f>
        <v>0</v>
      </c>
      <c r="L30" s="46">
        <f t="shared" ref="L30" ca="1" si="27">OFFSET(L29,0,-$H27+1,1,$H27)/$H27</f>
        <v>0</v>
      </c>
      <c r="M30" s="46">
        <f t="shared" ref="M30" ca="1" si="28">OFFSET(M29,0,-$H27+1,1,$H27)/$H27</f>
        <v>0</v>
      </c>
      <c r="N30" s="46">
        <f t="shared" ref="N30" ca="1" si="29">OFFSET(N29,0,-$H27+1,1,$H27)/$H27</f>
        <v>0</v>
      </c>
      <c r="O30" s="46">
        <f t="shared" ref="O30" ca="1" si="30">OFFSET(O29,0,-$H27+1,1,$H27)/$H27</f>
        <v>0</v>
      </c>
      <c r="P30" s="46">
        <f t="shared" ref="P30" ca="1" si="31">OFFSET(P29,0,-$H27+1,1,$H27)/$H27</f>
        <v>0</v>
      </c>
      <c r="Q30" s="46">
        <f t="shared" ref="Q30" ca="1" si="32">OFFSET(Q29,0,-$H27+1,1,$H27)/$H27</f>
        <v>0</v>
      </c>
      <c r="R30" s="46">
        <f t="shared" ref="R30" ca="1" si="33">OFFSET(R29,0,-$H27+1,1,$H27)/$H27</f>
        <v>0</v>
      </c>
    </row>
    <row r="31" spans="3:18" x14ac:dyDescent="0.25">
      <c r="E31" s="47" t="s">
        <v>132</v>
      </c>
      <c r="J31" s="46">
        <f ca="1">-SUM(OFFSET(J29,0,-$H27+1,1,$H27))/$H27</f>
        <v>-20000</v>
      </c>
      <c r="K31" s="46">
        <f t="shared" ref="K31:R31" ca="1" si="34">-SUM(OFFSET(K29,0,-$H27+1,1,$H27))/$H27</f>
        <v>-20000</v>
      </c>
      <c r="L31" s="46">
        <f t="shared" ca="1" si="34"/>
        <v>-20000</v>
      </c>
      <c r="M31" s="46">
        <f t="shared" ca="1" si="34"/>
        <v>-20000</v>
      </c>
      <c r="N31" s="46">
        <f t="shared" ca="1" si="34"/>
        <v>-20000</v>
      </c>
      <c r="O31" s="46">
        <f t="shared" ca="1" si="34"/>
        <v>-20000</v>
      </c>
      <c r="P31" s="46">
        <f t="shared" ca="1" si="34"/>
        <v>-20000</v>
      </c>
      <c r="Q31" s="46">
        <f t="shared" ca="1" si="34"/>
        <v>-20000</v>
      </c>
      <c r="R31" s="46">
        <f t="shared" ca="1" si="34"/>
        <v>-20000</v>
      </c>
    </row>
    <row r="32" spans="3:18" x14ac:dyDescent="0.25">
      <c r="E32" s="47" t="s">
        <v>129</v>
      </c>
      <c r="J32" s="46">
        <f ca="1">J28+J29+J31</f>
        <v>180000</v>
      </c>
      <c r="K32" s="46">
        <f t="shared" ref="K32" ca="1" si="35">K28+K29+K31</f>
        <v>160000</v>
      </c>
      <c r="L32" s="46">
        <f t="shared" ref="L32" ca="1" si="36">L28+L29+L31</f>
        <v>140000</v>
      </c>
      <c r="M32" s="46">
        <f t="shared" ref="M32" ca="1" si="37">M28+M29+M31</f>
        <v>120000</v>
      </c>
      <c r="N32" s="46">
        <f t="shared" ref="N32" ca="1" si="38">N28+N29+N31</f>
        <v>100000</v>
      </c>
      <c r="O32" s="46">
        <f t="shared" ref="O32" ca="1" si="39">O28+O29+O31</f>
        <v>80000</v>
      </c>
      <c r="P32" s="46">
        <f t="shared" ref="P32" ca="1" si="40">P28+P29+P31</f>
        <v>60000</v>
      </c>
      <c r="Q32" s="46">
        <f t="shared" ref="Q32" ca="1" si="41">Q28+Q29+Q31</f>
        <v>40000</v>
      </c>
      <c r="R32" s="46">
        <f t="shared" ref="R32" ca="1" si="42">R28+R29+R31</f>
        <v>20000</v>
      </c>
    </row>
    <row r="34" spans="3:18" x14ac:dyDescent="0.25">
      <c r="C34" s="47" t="s">
        <v>64</v>
      </c>
      <c r="G34" s="57">
        <f>Input!B332</f>
        <v>50000</v>
      </c>
      <c r="H34" s="57">
        <f>Input!C332</f>
        <v>10</v>
      </c>
    </row>
    <row r="35" spans="3:18" x14ac:dyDescent="0.25">
      <c r="E35" s="47" t="s">
        <v>127</v>
      </c>
      <c r="J35" s="46">
        <f>I39</f>
        <v>0</v>
      </c>
      <c r="K35" s="46">
        <f t="shared" ref="K35:R35" ca="1" si="43">J39</f>
        <v>45000</v>
      </c>
      <c r="L35" s="46">
        <f t="shared" ca="1" si="43"/>
        <v>40000</v>
      </c>
      <c r="M35" s="46">
        <f t="shared" ca="1" si="43"/>
        <v>35000</v>
      </c>
      <c r="N35" s="46">
        <f t="shared" ca="1" si="43"/>
        <v>30000</v>
      </c>
      <c r="O35" s="46">
        <f t="shared" ca="1" si="43"/>
        <v>25000</v>
      </c>
      <c r="P35" s="46">
        <f t="shared" ca="1" si="43"/>
        <v>20000</v>
      </c>
      <c r="Q35" s="46">
        <f t="shared" ca="1" si="43"/>
        <v>15000</v>
      </c>
      <c r="R35" s="46">
        <f t="shared" ca="1" si="43"/>
        <v>10000</v>
      </c>
    </row>
    <row r="36" spans="3:18" x14ac:dyDescent="0.25">
      <c r="E36" s="47" t="s">
        <v>128</v>
      </c>
      <c r="J36" s="56">
        <f>G34</f>
        <v>50000</v>
      </c>
    </row>
    <row r="37" spans="3:18" x14ac:dyDescent="0.25">
      <c r="E37" s="47" t="s">
        <v>133</v>
      </c>
      <c r="J37" s="46">
        <f ca="1">OFFSET(J36,0,-$H34+1,1,$H34)/$H34</f>
        <v>5000</v>
      </c>
      <c r="K37" s="46">
        <f t="shared" ref="K37" ca="1" si="44">OFFSET(K36,0,-$H34+1,1,$H34)/$H34</f>
        <v>0</v>
      </c>
      <c r="L37" s="46">
        <f t="shared" ref="L37" ca="1" si="45">OFFSET(L36,0,-$H34+1,1,$H34)/$H34</f>
        <v>0</v>
      </c>
      <c r="M37" s="46">
        <f t="shared" ref="M37" ca="1" si="46">OFFSET(M36,0,-$H34+1,1,$H34)/$H34</f>
        <v>0</v>
      </c>
      <c r="N37" s="46">
        <f t="shared" ref="N37" ca="1" si="47">OFFSET(N36,0,-$H34+1,1,$H34)/$H34</f>
        <v>0</v>
      </c>
      <c r="O37" s="46">
        <f t="shared" ref="O37" ca="1" si="48">OFFSET(O36,0,-$H34+1,1,$H34)/$H34</f>
        <v>0</v>
      </c>
      <c r="P37" s="46">
        <f t="shared" ref="P37" ca="1" si="49">OFFSET(P36,0,-$H34+1,1,$H34)/$H34</f>
        <v>0</v>
      </c>
      <c r="Q37" s="46">
        <f t="shared" ref="Q37" ca="1" si="50">OFFSET(Q36,0,-$H34+1,1,$H34)/$H34</f>
        <v>0</v>
      </c>
      <c r="R37" s="46">
        <f t="shared" ref="R37" ca="1" si="51">OFFSET(R36,0,-$H34+1,1,$H34)/$H34</f>
        <v>0</v>
      </c>
    </row>
    <row r="38" spans="3:18" x14ac:dyDescent="0.25">
      <c r="E38" s="47" t="s">
        <v>132</v>
      </c>
      <c r="J38" s="46">
        <f ca="1">-SUM(OFFSET(J36,0,-$H34+1,1,$H34))/$H34</f>
        <v>-5000</v>
      </c>
      <c r="K38" s="46">
        <f t="shared" ref="K38:R38" ca="1" si="52">-SUM(OFFSET(K36,0,-$H34+1,1,$H34))/$H34</f>
        <v>-5000</v>
      </c>
      <c r="L38" s="46">
        <f t="shared" ca="1" si="52"/>
        <v>-5000</v>
      </c>
      <c r="M38" s="46">
        <f t="shared" ca="1" si="52"/>
        <v>-5000</v>
      </c>
      <c r="N38" s="46">
        <f t="shared" ca="1" si="52"/>
        <v>-5000</v>
      </c>
      <c r="O38" s="46">
        <f t="shared" ca="1" si="52"/>
        <v>-5000</v>
      </c>
      <c r="P38" s="46">
        <f t="shared" ca="1" si="52"/>
        <v>-5000</v>
      </c>
      <c r="Q38" s="46">
        <f t="shared" ca="1" si="52"/>
        <v>-5000</v>
      </c>
      <c r="R38" s="46">
        <f t="shared" ca="1" si="52"/>
        <v>-5000</v>
      </c>
    </row>
    <row r="39" spans="3:18" x14ac:dyDescent="0.25">
      <c r="E39" s="47" t="s">
        <v>129</v>
      </c>
      <c r="J39" s="46">
        <f ca="1">J35+J36+J38</f>
        <v>45000</v>
      </c>
      <c r="K39" s="46">
        <f t="shared" ref="K39" ca="1" si="53">K35+K36+K38</f>
        <v>40000</v>
      </c>
      <c r="L39" s="46">
        <f t="shared" ref="L39" ca="1" si="54">L35+L36+L38</f>
        <v>35000</v>
      </c>
      <c r="M39" s="46">
        <f t="shared" ref="M39" ca="1" si="55">M35+M36+M38</f>
        <v>30000</v>
      </c>
      <c r="N39" s="46">
        <f t="shared" ref="N39" ca="1" si="56">N35+N36+N38</f>
        <v>25000</v>
      </c>
      <c r="O39" s="46">
        <f t="shared" ref="O39" ca="1" si="57">O35+O36+O38</f>
        <v>20000</v>
      </c>
      <c r="P39" s="46">
        <f t="shared" ref="P39" ca="1" si="58">P35+P36+P38</f>
        <v>15000</v>
      </c>
      <c r="Q39" s="46">
        <f t="shared" ref="Q39" ca="1" si="59">Q35+Q36+Q38</f>
        <v>10000</v>
      </c>
      <c r="R39" s="46">
        <f t="shared" ref="R39" ca="1" si="60">R35+R36+R38</f>
        <v>5000</v>
      </c>
    </row>
    <row r="41" spans="3:18" x14ac:dyDescent="0.25">
      <c r="C41" s="47" t="s">
        <v>65</v>
      </c>
      <c r="G41" s="57">
        <f>Input!B333</f>
        <v>632000</v>
      </c>
      <c r="H41" s="57">
        <f>Input!C333</f>
        <v>10</v>
      </c>
    </row>
    <row r="42" spans="3:18" x14ac:dyDescent="0.25">
      <c r="E42" s="47" t="s">
        <v>127</v>
      </c>
      <c r="J42" s="46">
        <f>I46</f>
        <v>0</v>
      </c>
      <c r="K42" s="46">
        <f t="shared" ref="K42:R42" ca="1" si="61">J46</f>
        <v>568800</v>
      </c>
      <c r="L42" s="46">
        <f t="shared" ca="1" si="61"/>
        <v>505600</v>
      </c>
      <c r="M42" s="46">
        <f t="shared" ca="1" si="61"/>
        <v>442400</v>
      </c>
      <c r="N42" s="46">
        <f t="shared" ca="1" si="61"/>
        <v>379200</v>
      </c>
      <c r="O42" s="46">
        <f t="shared" ca="1" si="61"/>
        <v>316000</v>
      </c>
      <c r="P42" s="46">
        <f t="shared" ca="1" si="61"/>
        <v>252800</v>
      </c>
      <c r="Q42" s="46">
        <f t="shared" ca="1" si="61"/>
        <v>189600</v>
      </c>
      <c r="R42" s="46">
        <f t="shared" ca="1" si="61"/>
        <v>126400</v>
      </c>
    </row>
    <row r="43" spans="3:18" x14ac:dyDescent="0.25">
      <c r="E43" s="47" t="s">
        <v>128</v>
      </c>
      <c r="J43" s="56">
        <f>G41</f>
        <v>632000</v>
      </c>
    </row>
    <row r="44" spans="3:18" x14ac:dyDescent="0.25">
      <c r="E44" s="47" t="s">
        <v>133</v>
      </c>
      <c r="J44" s="46">
        <f ca="1">OFFSET(J43,0,-$H41+1,1,$H41)/$H41</f>
        <v>63200</v>
      </c>
      <c r="K44" s="46">
        <f t="shared" ref="K44" ca="1" si="62">OFFSET(K43,0,-$H41+1,1,$H41)/$H41</f>
        <v>0</v>
      </c>
      <c r="L44" s="46">
        <f t="shared" ref="L44" ca="1" si="63">OFFSET(L43,0,-$H41+1,1,$H41)/$H41</f>
        <v>0</v>
      </c>
      <c r="M44" s="46">
        <f t="shared" ref="M44" ca="1" si="64">OFFSET(M43,0,-$H41+1,1,$H41)/$H41</f>
        <v>0</v>
      </c>
      <c r="N44" s="46">
        <f t="shared" ref="N44" ca="1" si="65">OFFSET(N43,0,-$H41+1,1,$H41)/$H41</f>
        <v>0</v>
      </c>
      <c r="O44" s="46">
        <f t="shared" ref="O44" ca="1" si="66">OFFSET(O43,0,-$H41+1,1,$H41)/$H41</f>
        <v>0</v>
      </c>
      <c r="P44" s="46">
        <f t="shared" ref="P44" ca="1" si="67">OFFSET(P43,0,-$H41+1,1,$H41)/$H41</f>
        <v>0</v>
      </c>
      <c r="Q44" s="46">
        <f t="shared" ref="Q44" ca="1" si="68">OFFSET(Q43,0,-$H41+1,1,$H41)/$H41</f>
        <v>0</v>
      </c>
      <c r="R44" s="46">
        <f t="shared" ref="R44" ca="1" si="69">OFFSET(R43,0,-$H41+1,1,$H41)/$H41</f>
        <v>0</v>
      </c>
    </row>
    <row r="45" spans="3:18" x14ac:dyDescent="0.25">
      <c r="E45" s="47" t="s">
        <v>132</v>
      </c>
      <c r="J45" s="46">
        <f ca="1">-SUM(OFFSET(J43,0,-$H41+1,1,$H41))/$H41</f>
        <v>-63200</v>
      </c>
      <c r="K45" s="46">
        <f t="shared" ref="K45:R45" ca="1" si="70">-SUM(OFFSET(K43,0,-$H41+1,1,$H41))/$H41</f>
        <v>-63200</v>
      </c>
      <c r="L45" s="46">
        <f t="shared" ca="1" si="70"/>
        <v>-63200</v>
      </c>
      <c r="M45" s="46">
        <f t="shared" ca="1" si="70"/>
        <v>-63200</v>
      </c>
      <c r="N45" s="46">
        <f t="shared" ca="1" si="70"/>
        <v>-63200</v>
      </c>
      <c r="O45" s="46">
        <f t="shared" ca="1" si="70"/>
        <v>-63200</v>
      </c>
      <c r="P45" s="46">
        <f t="shared" ca="1" si="70"/>
        <v>-63200</v>
      </c>
      <c r="Q45" s="46">
        <f t="shared" ca="1" si="70"/>
        <v>-63200</v>
      </c>
      <c r="R45" s="46">
        <f t="shared" ca="1" si="70"/>
        <v>-63200</v>
      </c>
    </row>
    <row r="46" spans="3:18" x14ac:dyDescent="0.25">
      <c r="E46" s="47" t="s">
        <v>129</v>
      </c>
      <c r="J46" s="46">
        <f ca="1">J42+J43+J45</f>
        <v>568800</v>
      </c>
      <c r="K46" s="46">
        <f t="shared" ref="K46" ca="1" si="71">K42+K43+K45</f>
        <v>505600</v>
      </c>
      <c r="L46" s="46">
        <f t="shared" ref="L46" ca="1" si="72">L42+L43+L45</f>
        <v>442400</v>
      </c>
      <c r="M46" s="46">
        <f t="shared" ref="M46" ca="1" si="73">M42+M43+M45</f>
        <v>379200</v>
      </c>
      <c r="N46" s="46">
        <f t="shared" ref="N46" ca="1" si="74">N42+N43+N45</f>
        <v>316000</v>
      </c>
      <c r="O46" s="46">
        <f t="shared" ref="O46" ca="1" si="75">O42+O43+O45</f>
        <v>252800</v>
      </c>
      <c r="P46" s="46">
        <f t="shared" ref="P46" ca="1" si="76">P42+P43+P45</f>
        <v>189600</v>
      </c>
      <c r="Q46" s="46">
        <f t="shared" ref="Q46" ca="1" si="77">Q42+Q43+Q45</f>
        <v>126400</v>
      </c>
      <c r="R46" s="46">
        <f t="shared" ref="R46" ca="1" si="78">R42+R43+R45</f>
        <v>63200</v>
      </c>
    </row>
    <row r="48" spans="3:18" x14ac:dyDescent="0.25">
      <c r="C48" s="47" t="s">
        <v>66</v>
      </c>
      <c r="G48" s="57">
        <f>Input!B334</f>
        <v>325960</v>
      </c>
      <c r="H48" s="57">
        <f>Input!C334</f>
        <v>10</v>
      </c>
    </row>
    <row r="49" spans="3:18" x14ac:dyDescent="0.25">
      <c r="E49" s="47" t="s">
        <v>127</v>
      </c>
      <c r="J49" s="46">
        <f>I53</f>
        <v>0</v>
      </c>
      <c r="K49" s="46">
        <f t="shared" ref="K49:R49" ca="1" si="79">J53</f>
        <v>293364</v>
      </c>
      <c r="L49" s="46">
        <f t="shared" ca="1" si="79"/>
        <v>260768</v>
      </c>
      <c r="M49" s="46">
        <f t="shared" ca="1" si="79"/>
        <v>228172</v>
      </c>
      <c r="N49" s="46">
        <f t="shared" ca="1" si="79"/>
        <v>195576</v>
      </c>
      <c r="O49" s="46">
        <f t="shared" ca="1" si="79"/>
        <v>162980</v>
      </c>
      <c r="P49" s="46">
        <f t="shared" ca="1" si="79"/>
        <v>130384</v>
      </c>
      <c r="Q49" s="46">
        <f t="shared" ca="1" si="79"/>
        <v>97788</v>
      </c>
      <c r="R49" s="46">
        <f t="shared" ca="1" si="79"/>
        <v>65192</v>
      </c>
    </row>
    <row r="50" spans="3:18" x14ac:dyDescent="0.25">
      <c r="E50" s="47" t="s">
        <v>128</v>
      </c>
      <c r="J50" s="56">
        <f>G48</f>
        <v>325960</v>
      </c>
    </row>
    <row r="51" spans="3:18" x14ac:dyDescent="0.25">
      <c r="E51" s="47" t="s">
        <v>133</v>
      </c>
      <c r="J51" s="46">
        <f ca="1">OFFSET(J50,0,-$H48+1,1,$H48)/$H48</f>
        <v>32596</v>
      </c>
      <c r="K51" s="46">
        <f t="shared" ref="K51" ca="1" si="80">OFFSET(K50,0,-$H48+1,1,$H48)/$H48</f>
        <v>0</v>
      </c>
      <c r="L51" s="46">
        <f t="shared" ref="L51" ca="1" si="81">OFFSET(L50,0,-$H48+1,1,$H48)/$H48</f>
        <v>0</v>
      </c>
      <c r="M51" s="46">
        <f t="shared" ref="M51" ca="1" si="82">OFFSET(M50,0,-$H48+1,1,$H48)/$H48</f>
        <v>0</v>
      </c>
      <c r="N51" s="46">
        <f t="shared" ref="N51" ca="1" si="83">OFFSET(N50,0,-$H48+1,1,$H48)/$H48</f>
        <v>0</v>
      </c>
      <c r="O51" s="46">
        <f t="shared" ref="O51" ca="1" si="84">OFFSET(O50,0,-$H48+1,1,$H48)/$H48</f>
        <v>0</v>
      </c>
      <c r="P51" s="46">
        <f t="shared" ref="P51" ca="1" si="85">OFFSET(P50,0,-$H48+1,1,$H48)/$H48</f>
        <v>0</v>
      </c>
      <c r="Q51" s="46">
        <f t="shared" ref="Q51" ca="1" si="86">OFFSET(Q50,0,-$H48+1,1,$H48)/$H48</f>
        <v>0</v>
      </c>
      <c r="R51" s="46">
        <f t="shared" ref="R51" ca="1" si="87">OFFSET(R50,0,-$H48+1,1,$H48)/$H48</f>
        <v>0</v>
      </c>
    </row>
    <row r="52" spans="3:18" x14ac:dyDescent="0.25">
      <c r="E52" s="47" t="s">
        <v>132</v>
      </c>
      <c r="J52" s="46">
        <f ca="1">-SUM(OFFSET(J50,0,-$H48+1,1,$H48))/$H48</f>
        <v>-32596</v>
      </c>
      <c r="K52" s="46">
        <f t="shared" ref="K52:R52" ca="1" si="88">-SUM(OFFSET(K50,0,-$H48+1,1,$H48))/$H48</f>
        <v>-32596</v>
      </c>
      <c r="L52" s="46">
        <f t="shared" ca="1" si="88"/>
        <v>-32596</v>
      </c>
      <c r="M52" s="46">
        <f t="shared" ca="1" si="88"/>
        <v>-32596</v>
      </c>
      <c r="N52" s="46">
        <f t="shared" ca="1" si="88"/>
        <v>-32596</v>
      </c>
      <c r="O52" s="46">
        <f t="shared" ca="1" si="88"/>
        <v>-32596</v>
      </c>
      <c r="P52" s="46">
        <f t="shared" ca="1" si="88"/>
        <v>-32596</v>
      </c>
      <c r="Q52" s="46">
        <f t="shared" ca="1" si="88"/>
        <v>-32596</v>
      </c>
      <c r="R52" s="46">
        <f t="shared" ca="1" si="88"/>
        <v>-32596</v>
      </c>
    </row>
    <row r="53" spans="3:18" x14ac:dyDescent="0.25">
      <c r="E53" s="47" t="s">
        <v>129</v>
      </c>
      <c r="J53" s="46">
        <f ca="1">J49+J50+J52</f>
        <v>293364</v>
      </c>
      <c r="K53" s="46">
        <f t="shared" ref="K53" ca="1" si="89">K49+K50+K52</f>
        <v>260768</v>
      </c>
      <c r="L53" s="46">
        <f t="shared" ref="L53" ca="1" si="90">L49+L50+L52</f>
        <v>228172</v>
      </c>
      <c r="M53" s="46">
        <f t="shared" ref="M53" ca="1" si="91">M49+M50+M52</f>
        <v>195576</v>
      </c>
      <c r="N53" s="46">
        <f t="shared" ref="N53" ca="1" si="92">N49+N50+N52</f>
        <v>162980</v>
      </c>
      <c r="O53" s="46">
        <f t="shared" ref="O53" ca="1" si="93">O49+O50+O52</f>
        <v>130384</v>
      </c>
      <c r="P53" s="46">
        <f t="shared" ref="P53" ca="1" si="94">P49+P50+P52</f>
        <v>97788</v>
      </c>
      <c r="Q53" s="46">
        <f t="shared" ref="Q53" ca="1" si="95">Q49+Q50+Q52</f>
        <v>65192</v>
      </c>
      <c r="R53" s="46">
        <f t="shared" ref="R53" ca="1" si="96">R49+R50+R52</f>
        <v>32596</v>
      </c>
    </row>
    <row r="55" spans="3:18" x14ac:dyDescent="0.25">
      <c r="C55" s="47" t="s">
        <v>67</v>
      </c>
      <c r="G55" s="57">
        <f>Input!B335</f>
        <v>24000</v>
      </c>
      <c r="H55" s="57">
        <f>Input!C335</f>
        <v>10</v>
      </c>
    </row>
    <row r="56" spans="3:18" x14ac:dyDescent="0.25">
      <c r="E56" s="47" t="s">
        <v>127</v>
      </c>
      <c r="J56" s="46">
        <f>I60</f>
        <v>0</v>
      </c>
      <c r="K56" s="46">
        <f t="shared" ref="K56:R56" ca="1" si="97">J60</f>
        <v>21600</v>
      </c>
      <c r="L56" s="46">
        <f t="shared" ca="1" si="97"/>
        <v>19200</v>
      </c>
      <c r="M56" s="46">
        <f t="shared" ca="1" si="97"/>
        <v>16800</v>
      </c>
      <c r="N56" s="46">
        <f t="shared" ca="1" si="97"/>
        <v>14400</v>
      </c>
      <c r="O56" s="46">
        <f t="shared" ca="1" si="97"/>
        <v>12000</v>
      </c>
      <c r="P56" s="46">
        <f t="shared" ca="1" si="97"/>
        <v>9600</v>
      </c>
      <c r="Q56" s="46">
        <f t="shared" ca="1" si="97"/>
        <v>7200</v>
      </c>
      <c r="R56" s="46">
        <f t="shared" ca="1" si="97"/>
        <v>4800</v>
      </c>
    </row>
    <row r="57" spans="3:18" x14ac:dyDescent="0.25">
      <c r="E57" s="47" t="s">
        <v>128</v>
      </c>
      <c r="J57" s="56">
        <f>G55</f>
        <v>24000</v>
      </c>
    </row>
    <row r="58" spans="3:18" x14ac:dyDescent="0.25">
      <c r="E58" s="47" t="s">
        <v>133</v>
      </c>
      <c r="J58" s="46">
        <f ca="1">OFFSET(J57,0,-$H55+1,1,$H55)/$H55</f>
        <v>2400</v>
      </c>
      <c r="K58" s="46">
        <f t="shared" ref="K58" ca="1" si="98">OFFSET(K57,0,-$H55+1,1,$H55)/$H55</f>
        <v>0</v>
      </c>
      <c r="L58" s="46">
        <f t="shared" ref="L58" ca="1" si="99">OFFSET(L57,0,-$H55+1,1,$H55)/$H55</f>
        <v>0</v>
      </c>
      <c r="M58" s="46">
        <f t="shared" ref="M58" ca="1" si="100">OFFSET(M57,0,-$H55+1,1,$H55)/$H55</f>
        <v>0</v>
      </c>
      <c r="N58" s="46">
        <f t="shared" ref="N58" ca="1" si="101">OFFSET(N57,0,-$H55+1,1,$H55)/$H55</f>
        <v>0</v>
      </c>
      <c r="O58" s="46">
        <f t="shared" ref="O58" ca="1" si="102">OFFSET(O57,0,-$H55+1,1,$H55)/$H55</f>
        <v>0</v>
      </c>
      <c r="P58" s="46">
        <f t="shared" ref="P58" ca="1" si="103">OFFSET(P57,0,-$H55+1,1,$H55)/$H55</f>
        <v>0</v>
      </c>
      <c r="Q58" s="46">
        <f t="shared" ref="Q58" ca="1" si="104">OFFSET(Q57,0,-$H55+1,1,$H55)/$H55</f>
        <v>0</v>
      </c>
      <c r="R58" s="46">
        <f t="shared" ref="R58" ca="1" si="105">OFFSET(R57,0,-$H55+1,1,$H55)/$H55</f>
        <v>0</v>
      </c>
    </row>
    <row r="59" spans="3:18" x14ac:dyDescent="0.25">
      <c r="E59" s="47" t="s">
        <v>132</v>
      </c>
      <c r="J59" s="46">
        <f ca="1">-SUM(OFFSET(J57,0,-$H55+1,1,$H55))/$H55</f>
        <v>-2400</v>
      </c>
      <c r="K59" s="46">
        <f t="shared" ref="K59:R59" ca="1" si="106">-SUM(OFFSET(K57,0,-$H55+1,1,$H55))/$H55</f>
        <v>-2400</v>
      </c>
      <c r="L59" s="46">
        <f t="shared" ca="1" si="106"/>
        <v>-2400</v>
      </c>
      <c r="M59" s="46">
        <f t="shared" ca="1" si="106"/>
        <v>-2400</v>
      </c>
      <c r="N59" s="46">
        <f t="shared" ca="1" si="106"/>
        <v>-2400</v>
      </c>
      <c r="O59" s="46">
        <f t="shared" ca="1" si="106"/>
        <v>-2400</v>
      </c>
      <c r="P59" s="46">
        <f t="shared" ca="1" si="106"/>
        <v>-2400</v>
      </c>
      <c r="Q59" s="46">
        <f t="shared" ca="1" si="106"/>
        <v>-2400</v>
      </c>
      <c r="R59" s="46">
        <f t="shared" ca="1" si="106"/>
        <v>-2400</v>
      </c>
    </row>
    <row r="60" spans="3:18" x14ac:dyDescent="0.25">
      <c r="E60" s="47" t="s">
        <v>129</v>
      </c>
      <c r="J60" s="46">
        <f ca="1">J56+J57+J59</f>
        <v>21600</v>
      </c>
      <c r="K60" s="46">
        <f t="shared" ref="K60" ca="1" si="107">K56+K57+K59</f>
        <v>19200</v>
      </c>
      <c r="L60" s="46">
        <f t="shared" ref="L60" ca="1" si="108">L56+L57+L59</f>
        <v>16800</v>
      </c>
      <c r="M60" s="46">
        <f t="shared" ref="M60" ca="1" si="109">M56+M57+M59</f>
        <v>14400</v>
      </c>
      <c r="N60" s="46">
        <f t="shared" ref="N60" ca="1" si="110">N56+N57+N59</f>
        <v>12000</v>
      </c>
      <c r="O60" s="46">
        <f t="shared" ref="O60" ca="1" si="111">O56+O57+O59</f>
        <v>9600</v>
      </c>
      <c r="P60" s="46">
        <f t="shared" ref="P60" ca="1" si="112">P56+P57+P59</f>
        <v>7200</v>
      </c>
      <c r="Q60" s="46">
        <f t="shared" ref="Q60" ca="1" si="113">Q56+Q57+Q59</f>
        <v>4800</v>
      </c>
      <c r="R60" s="46">
        <f t="shared" ref="R60" ca="1" si="114">R56+R57+R59</f>
        <v>2400</v>
      </c>
    </row>
    <row r="62" spans="3:18" x14ac:dyDescent="0.25">
      <c r="C62" s="47" t="s">
        <v>68</v>
      </c>
      <c r="G62" s="57">
        <f>Input!B336</f>
        <v>80000</v>
      </c>
      <c r="H62" s="57">
        <f>Input!C336</f>
        <v>10</v>
      </c>
    </row>
    <row r="63" spans="3:18" x14ac:dyDescent="0.25">
      <c r="E63" s="47" t="s">
        <v>127</v>
      </c>
      <c r="J63" s="46">
        <f>I67</f>
        <v>0</v>
      </c>
      <c r="K63" s="46">
        <f t="shared" ref="K63:R63" ca="1" si="115">J67</f>
        <v>72000</v>
      </c>
      <c r="L63" s="46">
        <f t="shared" ca="1" si="115"/>
        <v>64000</v>
      </c>
      <c r="M63" s="46">
        <f t="shared" ca="1" si="115"/>
        <v>56000</v>
      </c>
      <c r="N63" s="46">
        <f t="shared" ca="1" si="115"/>
        <v>48000</v>
      </c>
      <c r="O63" s="46">
        <f t="shared" ca="1" si="115"/>
        <v>40000</v>
      </c>
      <c r="P63" s="46">
        <f t="shared" ca="1" si="115"/>
        <v>32000</v>
      </c>
      <c r="Q63" s="46">
        <f t="shared" ca="1" si="115"/>
        <v>24000</v>
      </c>
      <c r="R63" s="46">
        <f t="shared" ca="1" si="115"/>
        <v>16000</v>
      </c>
    </row>
    <row r="64" spans="3:18" x14ac:dyDescent="0.25">
      <c r="E64" s="47" t="s">
        <v>128</v>
      </c>
      <c r="J64" s="56">
        <f>G62</f>
        <v>80000</v>
      </c>
    </row>
    <row r="65" spans="3:18" x14ac:dyDescent="0.25">
      <c r="E65" s="47" t="s">
        <v>133</v>
      </c>
      <c r="J65" s="46">
        <f ca="1">OFFSET(J64,0,-$H62+1,1,$H62)/$H62</f>
        <v>8000</v>
      </c>
      <c r="K65" s="46">
        <f t="shared" ref="K65" ca="1" si="116">OFFSET(K64,0,-$H62+1,1,$H62)/$H62</f>
        <v>0</v>
      </c>
      <c r="L65" s="46">
        <f t="shared" ref="L65" ca="1" si="117">OFFSET(L64,0,-$H62+1,1,$H62)/$H62</f>
        <v>0</v>
      </c>
      <c r="M65" s="46">
        <f t="shared" ref="M65" ca="1" si="118">OFFSET(M64,0,-$H62+1,1,$H62)/$H62</f>
        <v>0</v>
      </c>
      <c r="N65" s="46">
        <f t="shared" ref="N65" ca="1" si="119">OFFSET(N64,0,-$H62+1,1,$H62)/$H62</f>
        <v>0</v>
      </c>
      <c r="O65" s="46">
        <f t="shared" ref="O65" ca="1" si="120">OFFSET(O64,0,-$H62+1,1,$H62)/$H62</f>
        <v>0</v>
      </c>
      <c r="P65" s="46">
        <f t="shared" ref="P65" ca="1" si="121">OFFSET(P64,0,-$H62+1,1,$H62)/$H62</f>
        <v>0</v>
      </c>
      <c r="Q65" s="46">
        <f t="shared" ref="Q65" ca="1" si="122">OFFSET(Q64,0,-$H62+1,1,$H62)/$H62</f>
        <v>0</v>
      </c>
      <c r="R65" s="46">
        <f t="shared" ref="R65" ca="1" si="123">OFFSET(R64,0,-$H62+1,1,$H62)/$H62</f>
        <v>0</v>
      </c>
    </row>
    <row r="66" spans="3:18" x14ac:dyDescent="0.25">
      <c r="E66" s="47" t="s">
        <v>132</v>
      </c>
      <c r="J66" s="46">
        <f ca="1">-SUM(OFFSET(J64,0,-$H62+1,1,$H62))/$H62</f>
        <v>-8000</v>
      </c>
      <c r="K66" s="46">
        <f t="shared" ref="K66:R66" ca="1" si="124">-SUM(OFFSET(K64,0,-$H62+1,1,$H62))/$H62</f>
        <v>-8000</v>
      </c>
      <c r="L66" s="46">
        <f t="shared" ca="1" si="124"/>
        <v>-8000</v>
      </c>
      <c r="M66" s="46">
        <f t="shared" ca="1" si="124"/>
        <v>-8000</v>
      </c>
      <c r="N66" s="46">
        <f t="shared" ca="1" si="124"/>
        <v>-8000</v>
      </c>
      <c r="O66" s="46">
        <f t="shared" ca="1" si="124"/>
        <v>-8000</v>
      </c>
      <c r="P66" s="46">
        <f t="shared" ca="1" si="124"/>
        <v>-8000</v>
      </c>
      <c r="Q66" s="46">
        <f t="shared" ca="1" si="124"/>
        <v>-8000</v>
      </c>
      <c r="R66" s="46">
        <f t="shared" ca="1" si="124"/>
        <v>-8000</v>
      </c>
    </row>
    <row r="67" spans="3:18" x14ac:dyDescent="0.25">
      <c r="E67" s="47" t="s">
        <v>129</v>
      </c>
      <c r="J67" s="46">
        <f ca="1">J63+J64+J66</f>
        <v>72000</v>
      </c>
      <c r="K67" s="46">
        <f t="shared" ref="K67" ca="1" si="125">K63+K64+K66</f>
        <v>64000</v>
      </c>
      <c r="L67" s="46">
        <f t="shared" ref="L67" ca="1" si="126">L63+L64+L66</f>
        <v>56000</v>
      </c>
      <c r="M67" s="46">
        <f t="shared" ref="M67" ca="1" si="127">M63+M64+M66</f>
        <v>48000</v>
      </c>
      <c r="N67" s="46">
        <f t="shared" ref="N67" ca="1" si="128">N63+N64+N66</f>
        <v>40000</v>
      </c>
      <c r="O67" s="46">
        <f t="shared" ref="O67" ca="1" si="129">O63+O64+O66</f>
        <v>32000</v>
      </c>
      <c r="P67" s="46">
        <f t="shared" ref="P67" ca="1" si="130">P63+P64+P66</f>
        <v>24000</v>
      </c>
      <c r="Q67" s="46">
        <f t="shared" ref="Q67" ca="1" si="131">Q63+Q64+Q66</f>
        <v>16000</v>
      </c>
      <c r="R67" s="46">
        <f t="shared" ref="R67" ca="1" si="132">R63+R64+R66</f>
        <v>8000</v>
      </c>
    </row>
    <row r="69" spans="3:18" x14ac:dyDescent="0.25">
      <c r="C69" s="47" t="s">
        <v>69</v>
      </c>
      <c r="G69" s="57">
        <f>Input!B337</f>
        <v>300000</v>
      </c>
      <c r="H69" s="57">
        <f>Input!C337</f>
        <v>10</v>
      </c>
    </row>
    <row r="70" spans="3:18" x14ac:dyDescent="0.25">
      <c r="E70" s="47" t="s">
        <v>127</v>
      </c>
      <c r="J70" s="46">
        <f>I74</f>
        <v>0</v>
      </c>
      <c r="K70" s="46">
        <f t="shared" ref="K70:R70" ca="1" si="133">J74</f>
        <v>270000</v>
      </c>
      <c r="L70" s="46">
        <f t="shared" ca="1" si="133"/>
        <v>240000</v>
      </c>
      <c r="M70" s="46">
        <f t="shared" ca="1" si="133"/>
        <v>210000</v>
      </c>
      <c r="N70" s="46">
        <f t="shared" ca="1" si="133"/>
        <v>180000</v>
      </c>
      <c r="O70" s="46">
        <f t="shared" ca="1" si="133"/>
        <v>150000</v>
      </c>
      <c r="P70" s="46">
        <f t="shared" ca="1" si="133"/>
        <v>120000</v>
      </c>
      <c r="Q70" s="46">
        <f t="shared" ca="1" si="133"/>
        <v>90000</v>
      </c>
      <c r="R70" s="46">
        <f t="shared" ca="1" si="133"/>
        <v>60000</v>
      </c>
    </row>
    <row r="71" spans="3:18" x14ac:dyDescent="0.25">
      <c r="E71" s="47" t="s">
        <v>128</v>
      </c>
      <c r="J71" s="56">
        <f>G69</f>
        <v>300000</v>
      </c>
    </row>
    <row r="72" spans="3:18" x14ac:dyDescent="0.25">
      <c r="E72" s="47" t="s">
        <v>133</v>
      </c>
      <c r="J72" s="46">
        <f ca="1">OFFSET(J71,0,-$H69+1,1,$H69)/$H69</f>
        <v>30000</v>
      </c>
      <c r="K72" s="46">
        <f t="shared" ref="K72" ca="1" si="134">OFFSET(K71,0,-$H69+1,1,$H69)/$H69</f>
        <v>0</v>
      </c>
      <c r="L72" s="46">
        <f t="shared" ref="L72" ca="1" si="135">OFFSET(L71,0,-$H69+1,1,$H69)/$H69</f>
        <v>0</v>
      </c>
      <c r="M72" s="46">
        <f t="shared" ref="M72" ca="1" si="136">OFFSET(M71,0,-$H69+1,1,$H69)/$H69</f>
        <v>0</v>
      </c>
      <c r="N72" s="46">
        <f t="shared" ref="N72" ca="1" si="137">OFFSET(N71,0,-$H69+1,1,$H69)/$H69</f>
        <v>0</v>
      </c>
      <c r="O72" s="46">
        <f t="shared" ref="O72" ca="1" si="138">OFFSET(O71,0,-$H69+1,1,$H69)/$H69</f>
        <v>0</v>
      </c>
      <c r="P72" s="46">
        <f t="shared" ref="P72" ca="1" si="139">OFFSET(P71,0,-$H69+1,1,$H69)/$H69</f>
        <v>0</v>
      </c>
      <c r="Q72" s="46">
        <f t="shared" ref="Q72" ca="1" si="140">OFFSET(Q71,0,-$H69+1,1,$H69)/$H69</f>
        <v>0</v>
      </c>
      <c r="R72" s="46">
        <f t="shared" ref="R72" ca="1" si="141">OFFSET(R71,0,-$H69+1,1,$H69)/$H69</f>
        <v>0</v>
      </c>
    </row>
    <row r="73" spans="3:18" x14ac:dyDescent="0.25">
      <c r="E73" s="47" t="s">
        <v>132</v>
      </c>
      <c r="J73" s="46">
        <f ca="1">-SUM(OFFSET(J71,0,-$H69+1,1,$H69))/$H69</f>
        <v>-30000</v>
      </c>
      <c r="K73" s="46">
        <f t="shared" ref="K73:R73" ca="1" si="142">-SUM(OFFSET(K71,0,-$H69+1,1,$H69))/$H69</f>
        <v>-30000</v>
      </c>
      <c r="L73" s="46">
        <f t="shared" ca="1" si="142"/>
        <v>-30000</v>
      </c>
      <c r="M73" s="46">
        <f t="shared" ca="1" si="142"/>
        <v>-30000</v>
      </c>
      <c r="N73" s="46">
        <f t="shared" ca="1" si="142"/>
        <v>-30000</v>
      </c>
      <c r="O73" s="46">
        <f t="shared" ca="1" si="142"/>
        <v>-30000</v>
      </c>
      <c r="P73" s="46">
        <f t="shared" ca="1" si="142"/>
        <v>-30000</v>
      </c>
      <c r="Q73" s="46">
        <f t="shared" ca="1" si="142"/>
        <v>-30000</v>
      </c>
      <c r="R73" s="46">
        <f t="shared" ca="1" si="142"/>
        <v>-30000</v>
      </c>
    </row>
    <row r="74" spans="3:18" x14ac:dyDescent="0.25">
      <c r="E74" s="47" t="s">
        <v>129</v>
      </c>
      <c r="J74" s="46">
        <f ca="1">J70+J71+J73</f>
        <v>270000</v>
      </c>
      <c r="K74" s="46">
        <f t="shared" ref="K74" ca="1" si="143">K70+K71+K73</f>
        <v>240000</v>
      </c>
      <c r="L74" s="46">
        <f t="shared" ref="L74" ca="1" si="144">L70+L71+L73</f>
        <v>210000</v>
      </c>
      <c r="M74" s="46">
        <f t="shared" ref="M74" ca="1" si="145">M70+M71+M73</f>
        <v>180000</v>
      </c>
      <c r="N74" s="46">
        <f t="shared" ref="N74" ca="1" si="146">N70+N71+N73</f>
        <v>150000</v>
      </c>
      <c r="O74" s="46">
        <f t="shared" ref="O74" ca="1" si="147">O70+O71+O73</f>
        <v>120000</v>
      </c>
      <c r="P74" s="46">
        <f t="shared" ref="P74" ca="1" si="148">P70+P71+P73</f>
        <v>90000</v>
      </c>
      <c r="Q74" s="46">
        <f t="shared" ref="Q74" ca="1" si="149">Q70+Q71+Q73</f>
        <v>60000</v>
      </c>
      <c r="R74" s="46">
        <f t="shared" ref="R74" ca="1" si="150">R70+R71+R73</f>
        <v>30000</v>
      </c>
    </row>
    <row r="76" spans="3:18" x14ac:dyDescent="0.25">
      <c r="C76" s="47" t="s">
        <v>70</v>
      </c>
      <c r="G76" s="57">
        <f>Input!B338</f>
        <v>100000</v>
      </c>
      <c r="H76" s="57">
        <f>Input!C338</f>
        <v>10</v>
      </c>
    </row>
    <row r="77" spans="3:18" x14ac:dyDescent="0.25">
      <c r="E77" s="47" t="s">
        <v>127</v>
      </c>
      <c r="J77" s="46">
        <f>I81</f>
        <v>0</v>
      </c>
      <c r="K77" s="46">
        <f t="shared" ref="K77:R77" ca="1" si="151">J81</f>
        <v>90000</v>
      </c>
      <c r="L77" s="46">
        <f t="shared" ca="1" si="151"/>
        <v>80000</v>
      </c>
      <c r="M77" s="46">
        <f t="shared" ca="1" si="151"/>
        <v>70000</v>
      </c>
      <c r="N77" s="46">
        <f t="shared" ca="1" si="151"/>
        <v>60000</v>
      </c>
      <c r="O77" s="46">
        <f t="shared" ca="1" si="151"/>
        <v>50000</v>
      </c>
      <c r="P77" s="46">
        <f t="shared" ca="1" si="151"/>
        <v>40000</v>
      </c>
      <c r="Q77" s="46">
        <f t="shared" ca="1" si="151"/>
        <v>30000</v>
      </c>
      <c r="R77" s="46">
        <f t="shared" ca="1" si="151"/>
        <v>20000</v>
      </c>
    </row>
    <row r="78" spans="3:18" x14ac:dyDescent="0.25">
      <c r="E78" s="47" t="s">
        <v>128</v>
      </c>
      <c r="J78" s="56">
        <f>G76</f>
        <v>100000</v>
      </c>
    </row>
    <row r="79" spans="3:18" x14ac:dyDescent="0.25">
      <c r="E79" s="47" t="s">
        <v>133</v>
      </c>
      <c r="J79" s="46">
        <f ca="1">OFFSET(J78,0,-$H76+1,1,$H76)/$H76</f>
        <v>10000</v>
      </c>
      <c r="K79" s="46">
        <f t="shared" ref="K79" ca="1" si="152">OFFSET(K78,0,-$H76+1,1,$H76)/$H76</f>
        <v>0</v>
      </c>
      <c r="L79" s="46">
        <f t="shared" ref="L79" ca="1" si="153">OFFSET(L78,0,-$H76+1,1,$H76)/$H76</f>
        <v>0</v>
      </c>
      <c r="M79" s="46">
        <f t="shared" ref="M79" ca="1" si="154">OFFSET(M78,0,-$H76+1,1,$H76)/$H76</f>
        <v>0</v>
      </c>
      <c r="N79" s="46">
        <f t="shared" ref="N79" ca="1" si="155">OFFSET(N78,0,-$H76+1,1,$H76)/$H76</f>
        <v>0</v>
      </c>
      <c r="O79" s="46">
        <f t="shared" ref="O79" ca="1" si="156">OFFSET(O78,0,-$H76+1,1,$H76)/$H76</f>
        <v>0</v>
      </c>
      <c r="P79" s="46">
        <f t="shared" ref="P79" ca="1" si="157">OFFSET(P78,0,-$H76+1,1,$H76)/$H76</f>
        <v>0</v>
      </c>
      <c r="Q79" s="46">
        <f t="shared" ref="Q79" ca="1" si="158">OFFSET(Q78,0,-$H76+1,1,$H76)/$H76</f>
        <v>0</v>
      </c>
      <c r="R79" s="46">
        <f t="shared" ref="R79" ca="1" si="159">OFFSET(R78,0,-$H76+1,1,$H76)/$H76</f>
        <v>0</v>
      </c>
    </row>
    <row r="80" spans="3:18" x14ac:dyDescent="0.25">
      <c r="E80" s="47" t="s">
        <v>132</v>
      </c>
      <c r="J80" s="46">
        <f ca="1">-SUM(OFFSET(J78,0,-$H76+1,1,$H76))/$H76</f>
        <v>-10000</v>
      </c>
      <c r="K80" s="46">
        <f t="shared" ref="K80:R80" ca="1" si="160">-SUM(OFFSET(K78,0,-$H76+1,1,$H76))/$H76</f>
        <v>-10000</v>
      </c>
      <c r="L80" s="46">
        <f t="shared" ca="1" si="160"/>
        <v>-10000</v>
      </c>
      <c r="M80" s="46">
        <f t="shared" ca="1" si="160"/>
        <v>-10000</v>
      </c>
      <c r="N80" s="46">
        <f t="shared" ca="1" si="160"/>
        <v>-10000</v>
      </c>
      <c r="O80" s="46">
        <f t="shared" ca="1" si="160"/>
        <v>-10000</v>
      </c>
      <c r="P80" s="46">
        <f t="shared" ca="1" si="160"/>
        <v>-10000</v>
      </c>
      <c r="Q80" s="46">
        <f t="shared" ca="1" si="160"/>
        <v>-10000</v>
      </c>
      <c r="R80" s="46">
        <f t="shared" ca="1" si="160"/>
        <v>-10000</v>
      </c>
    </row>
    <row r="81" spans="5:18" x14ac:dyDescent="0.25">
      <c r="E81" s="47" t="s">
        <v>129</v>
      </c>
      <c r="J81" s="46">
        <f ca="1">J77+J78+J80</f>
        <v>90000</v>
      </c>
      <c r="K81" s="46">
        <f t="shared" ref="K81" ca="1" si="161">K77+K78+K80</f>
        <v>80000</v>
      </c>
      <c r="L81" s="46">
        <f t="shared" ref="L81" ca="1" si="162">L77+L78+L80</f>
        <v>70000</v>
      </c>
      <c r="M81" s="46">
        <f t="shared" ref="M81" ca="1" si="163">M77+M78+M80</f>
        <v>60000</v>
      </c>
      <c r="N81" s="46">
        <f t="shared" ref="N81" ca="1" si="164">N77+N78+N80</f>
        <v>50000</v>
      </c>
      <c r="O81" s="46">
        <f t="shared" ref="O81" ca="1" si="165">O77+O78+O80</f>
        <v>40000</v>
      </c>
      <c r="P81" s="46">
        <f t="shared" ref="P81" ca="1" si="166">P77+P78+P80</f>
        <v>30000</v>
      </c>
      <c r="Q81" s="46">
        <f t="shared" ref="Q81" ca="1" si="167">Q77+Q78+Q80</f>
        <v>20000</v>
      </c>
      <c r="R81" s="46">
        <f t="shared" ref="R81" ca="1" si="168">R77+R78+R80</f>
        <v>10000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1696C-F5E3-4322-950E-84B026202FCD}">
  <sheetPr codeName="Sheet3">
    <tabColor theme="3" tint="9.9978637043366805E-2"/>
  </sheetPr>
  <dimension ref="A1:AK109"/>
  <sheetViews>
    <sheetView showGridLines="0" zoomScale="70" zoomScaleNormal="70" workbookViewId="0">
      <pane xSplit="9" ySplit="25" topLeftCell="J26" activePane="bottomRight" state="frozen"/>
      <selection pane="topRight" activeCell="J1" sqref="J1"/>
      <selection pane="bottomLeft" activeCell="A24" sqref="A24"/>
      <selection pane="bottomRight" activeCell="J26" sqref="J26"/>
    </sheetView>
  </sheetViews>
  <sheetFormatPr defaultRowHeight="15" x14ac:dyDescent="0.25"/>
  <cols>
    <col min="1" max="4" width="2.28515625" customWidth="1"/>
    <col min="5" max="5" width="23.140625" style="37" customWidth="1"/>
    <col min="9" max="9" width="2.7109375" customWidth="1"/>
    <col min="10" max="10" width="19.85546875" bestFit="1" customWidth="1"/>
    <col min="11" max="12" width="20.42578125" bestFit="1" customWidth="1"/>
    <col min="13" max="15" width="20.140625" bestFit="1" customWidth="1"/>
    <col min="16" max="18" width="20.7109375" bestFit="1" customWidth="1"/>
    <col min="19" max="19" width="39.85546875" customWidth="1"/>
    <col min="20" max="36" width="20.7109375" bestFit="1" customWidth="1"/>
  </cols>
  <sheetData>
    <row r="1" spans="1:37" ht="34.5" x14ac:dyDescent="0.55000000000000004">
      <c r="A1" s="21" t="s">
        <v>160</v>
      </c>
    </row>
    <row r="2" spans="1:37" s="20" customFormat="1" x14ac:dyDescent="0.25">
      <c r="E2" s="34"/>
      <c r="J2" s="18"/>
      <c r="K2" s="18" t="s">
        <v>76</v>
      </c>
      <c r="L2" s="18"/>
      <c r="M2" s="19"/>
      <c r="N2" s="19" t="s">
        <v>77</v>
      </c>
      <c r="O2" s="19"/>
      <c r="P2" s="18"/>
      <c r="Q2" s="18" t="s">
        <v>78</v>
      </c>
      <c r="R2" s="18"/>
      <c r="S2" s="19"/>
      <c r="T2" s="19" t="s">
        <v>79</v>
      </c>
      <c r="U2" s="19"/>
      <c r="V2" s="18"/>
      <c r="W2" s="18" t="s">
        <v>80</v>
      </c>
      <c r="X2" s="18"/>
      <c r="Y2" s="19"/>
      <c r="Z2" s="19" t="s">
        <v>81</v>
      </c>
      <c r="AA2" s="19"/>
      <c r="AB2" s="18"/>
      <c r="AC2" s="18" t="s">
        <v>82</v>
      </c>
      <c r="AD2" s="18"/>
      <c r="AE2" s="19"/>
      <c r="AF2" s="19" t="s">
        <v>83</v>
      </c>
      <c r="AG2" s="19"/>
      <c r="AH2" s="18"/>
      <c r="AI2" s="18" t="s">
        <v>84</v>
      </c>
      <c r="AJ2" s="18"/>
    </row>
    <row r="3" spans="1:37" x14ac:dyDescent="0.25">
      <c r="J3" s="14" t="s">
        <v>72</v>
      </c>
      <c r="K3" s="14" t="s">
        <v>73</v>
      </c>
      <c r="L3" s="14" t="s">
        <v>74</v>
      </c>
      <c r="M3" s="16" t="s">
        <v>72</v>
      </c>
      <c r="N3" s="16" t="s">
        <v>73</v>
      </c>
      <c r="O3" s="16" t="s">
        <v>74</v>
      </c>
      <c r="P3" s="14" t="s">
        <v>72</v>
      </c>
      <c r="Q3" s="14" t="s">
        <v>73</v>
      </c>
      <c r="R3" s="14" t="s">
        <v>74</v>
      </c>
      <c r="S3" s="16" t="s">
        <v>72</v>
      </c>
      <c r="T3" s="16" t="s">
        <v>73</v>
      </c>
      <c r="U3" s="16" t="s">
        <v>74</v>
      </c>
      <c r="V3" s="14" t="s">
        <v>72</v>
      </c>
      <c r="W3" s="14" t="s">
        <v>73</v>
      </c>
      <c r="X3" s="14" t="s">
        <v>74</v>
      </c>
      <c r="Y3" s="16" t="s">
        <v>72</v>
      </c>
      <c r="Z3" s="16" t="s">
        <v>73</v>
      </c>
      <c r="AA3" s="16" t="s">
        <v>74</v>
      </c>
      <c r="AB3" s="14" t="s">
        <v>72</v>
      </c>
      <c r="AC3" s="14" t="s">
        <v>73</v>
      </c>
      <c r="AD3" s="14" t="s">
        <v>74</v>
      </c>
      <c r="AE3" s="16" t="s">
        <v>72</v>
      </c>
      <c r="AF3" s="16" t="s">
        <v>73</v>
      </c>
      <c r="AG3" s="16" t="s">
        <v>74</v>
      </c>
      <c r="AH3" s="14" t="s">
        <v>72</v>
      </c>
      <c r="AI3" s="14" t="s">
        <v>73</v>
      </c>
      <c r="AJ3" s="14" t="s">
        <v>74</v>
      </c>
    </row>
    <row r="4" spans="1:37" x14ac:dyDescent="0.25">
      <c r="J4" s="15">
        <v>45536</v>
      </c>
      <c r="K4" s="15">
        <v>45658</v>
      </c>
      <c r="L4" s="15">
        <v>45778</v>
      </c>
      <c r="M4" s="17">
        <v>45901</v>
      </c>
      <c r="N4" s="17">
        <v>46023</v>
      </c>
      <c r="O4" s="17">
        <v>46143</v>
      </c>
      <c r="P4" s="15">
        <v>46266</v>
      </c>
      <c r="Q4" s="15">
        <v>46388</v>
      </c>
      <c r="R4" s="15">
        <v>46508</v>
      </c>
      <c r="S4" s="17">
        <v>46631</v>
      </c>
      <c r="T4" s="17">
        <v>46753</v>
      </c>
      <c r="U4" s="17">
        <v>46874</v>
      </c>
      <c r="V4" s="15">
        <v>46997</v>
      </c>
      <c r="W4" s="15">
        <v>47119</v>
      </c>
      <c r="X4" s="15">
        <v>47239</v>
      </c>
      <c r="Y4" s="17">
        <v>47362</v>
      </c>
      <c r="Z4" s="17">
        <v>47484</v>
      </c>
      <c r="AA4" s="17">
        <v>47604</v>
      </c>
      <c r="AB4" s="15">
        <v>47727</v>
      </c>
      <c r="AC4" s="15">
        <v>47849</v>
      </c>
      <c r="AD4" s="15">
        <v>47969</v>
      </c>
      <c r="AE4" s="17">
        <v>48092</v>
      </c>
      <c r="AF4" s="17">
        <v>48214</v>
      </c>
      <c r="AG4" s="17">
        <v>48335</v>
      </c>
      <c r="AH4" s="15">
        <v>48458</v>
      </c>
      <c r="AI4" s="15">
        <v>48580</v>
      </c>
      <c r="AJ4" s="15">
        <v>48700</v>
      </c>
    </row>
    <row r="5" spans="1:37" x14ac:dyDescent="0.25">
      <c r="J5">
        <v>1</v>
      </c>
      <c r="K5">
        <v>2</v>
      </c>
      <c r="L5">
        <v>3</v>
      </c>
      <c r="M5">
        <v>4</v>
      </c>
      <c r="N5">
        <v>5</v>
      </c>
      <c r="O5">
        <v>6</v>
      </c>
      <c r="P5">
        <v>7</v>
      </c>
      <c r="Q5">
        <v>8</v>
      </c>
      <c r="R5">
        <v>9</v>
      </c>
      <c r="S5">
        <v>10</v>
      </c>
      <c r="T5">
        <v>11</v>
      </c>
      <c r="U5">
        <v>12</v>
      </c>
      <c r="V5">
        <v>13</v>
      </c>
      <c r="W5">
        <v>14</v>
      </c>
      <c r="X5">
        <v>15</v>
      </c>
      <c r="Y5">
        <v>16</v>
      </c>
      <c r="Z5">
        <v>17</v>
      </c>
      <c r="AA5">
        <v>18</v>
      </c>
      <c r="AB5">
        <v>19</v>
      </c>
      <c r="AC5">
        <v>20</v>
      </c>
      <c r="AD5">
        <v>21</v>
      </c>
      <c r="AE5">
        <v>22</v>
      </c>
      <c r="AF5">
        <v>23</v>
      </c>
      <c r="AG5">
        <v>24</v>
      </c>
      <c r="AH5">
        <v>25</v>
      </c>
      <c r="AI5">
        <v>26</v>
      </c>
      <c r="AJ5">
        <v>27</v>
      </c>
    </row>
    <row r="6" spans="1:37" x14ac:dyDescent="0.25">
      <c r="B6" t="s">
        <v>138</v>
      </c>
    </row>
    <row r="7" spans="1:37" x14ac:dyDescent="0.25">
      <c r="E7" s="37" t="str">
        <f>Revenue!E28</f>
        <v>Total Revenue</v>
      </c>
      <c r="J7" s="35">
        <f>Revenue!J28</f>
        <v>2101761</v>
      </c>
      <c r="K7" s="35">
        <f>Revenue!K28</f>
        <v>2101761</v>
      </c>
      <c r="L7" s="35">
        <f>Revenue!L28</f>
        <v>2101761</v>
      </c>
      <c r="M7" s="35">
        <f>Revenue!M28</f>
        <v>2206849.0500000003</v>
      </c>
      <c r="N7" s="35">
        <f>Revenue!N28</f>
        <v>2206849.0500000003</v>
      </c>
      <c r="O7" s="35">
        <f>Revenue!O28</f>
        <v>2206849.0500000003</v>
      </c>
      <c r="P7" s="35">
        <f>Revenue!P28</f>
        <v>2317191.5024999999</v>
      </c>
      <c r="Q7" s="35">
        <f>Revenue!Q28</f>
        <v>2317191.5024999999</v>
      </c>
      <c r="R7" s="35">
        <f>Revenue!R28</f>
        <v>2317191.5024999999</v>
      </c>
      <c r="S7" s="35">
        <f>Revenue!S28</f>
        <v>2433051.0776249999</v>
      </c>
      <c r="T7" s="35">
        <f>Revenue!T28</f>
        <v>2433051.0776249999</v>
      </c>
      <c r="U7" s="35">
        <f>Revenue!U28</f>
        <v>2433051.0776249999</v>
      </c>
      <c r="V7" s="35">
        <f>Revenue!V28</f>
        <v>2554703.6315062502</v>
      </c>
      <c r="W7" s="35">
        <f>Revenue!W28</f>
        <v>2554703.6315062502</v>
      </c>
      <c r="X7" s="35">
        <f>Revenue!X28</f>
        <v>2554703.6315062502</v>
      </c>
      <c r="Y7" s="35">
        <f>Revenue!Y28</f>
        <v>2682438.8130815625</v>
      </c>
      <c r="Z7" s="35">
        <f>Revenue!Z28</f>
        <v>2682438.8130815625</v>
      </c>
      <c r="AA7" s="35">
        <f>Revenue!AA28</f>
        <v>2682438.8130815625</v>
      </c>
      <c r="AB7" s="35">
        <f>Revenue!AB28</f>
        <v>2816560.7537356415</v>
      </c>
      <c r="AC7" s="35">
        <f>Revenue!AC28</f>
        <v>2816560.7537356415</v>
      </c>
      <c r="AD7" s="35">
        <f>Revenue!AD28</f>
        <v>2816560.7537356415</v>
      </c>
      <c r="AE7" s="35">
        <f>Revenue!AE28</f>
        <v>2957388.7914224225</v>
      </c>
      <c r="AF7" s="35">
        <f>Revenue!AF28</f>
        <v>2957388.7914224225</v>
      </c>
      <c r="AG7" s="35">
        <f>Revenue!AG28</f>
        <v>2957388.7914224225</v>
      </c>
      <c r="AH7" s="35">
        <f>Revenue!AH28</f>
        <v>3105258.2309935451</v>
      </c>
      <c r="AI7" s="35">
        <f>Revenue!AI28</f>
        <v>3105258.2309935451</v>
      </c>
      <c r="AJ7" s="35">
        <f>Revenue!AJ28</f>
        <v>3105258.2309935451</v>
      </c>
      <c r="AK7" t="str">
        <f>Revenue!AK28</f>
        <v>x</v>
      </c>
    </row>
    <row r="8" spans="1:37" x14ac:dyDescent="0.25">
      <c r="E8" s="37" t="str">
        <f>'Direct Costs'!E27</f>
        <v>Total Feeding</v>
      </c>
      <c r="F8" s="22"/>
      <c r="G8" s="22"/>
      <c r="H8" s="22"/>
      <c r="I8" s="22"/>
      <c r="J8" s="35">
        <f>'Direct Costs'!J27</f>
        <v>107730</v>
      </c>
      <c r="K8" s="35">
        <f>'Direct Costs'!K27</f>
        <v>107730</v>
      </c>
      <c r="L8" s="35">
        <f>'Direct Costs'!L27</f>
        <v>107730</v>
      </c>
      <c r="M8" s="35">
        <f>'Direct Costs'!M27</f>
        <v>113116.5</v>
      </c>
      <c r="N8" s="35">
        <f>'Direct Costs'!N27</f>
        <v>113116.5</v>
      </c>
      <c r="O8" s="35">
        <f>'Direct Costs'!O27</f>
        <v>113116.5</v>
      </c>
      <c r="P8" s="35">
        <f>'Direct Costs'!P27</f>
        <v>118772.32500000004</v>
      </c>
      <c r="Q8" s="35">
        <f>'Direct Costs'!Q27</f>
        <v>118772.32500000004</v>
      </c>
      <c r="R8" s="35">
        <f>'Direct Costs'!R27</f>
        <v>118772.32500000004</v>
      </c>
      <c r="S8" s="35">
        <f>'Direct Costs'!S27</f>
        <v>124710.94125</v>
      </c>
      <c r="T8" s="35">
        <f>'Direct Costs'!T27</f>
        <v>124710.94125</v>
      </c>
      <c r="U8" s="35">
        <f>'Direct Costs'!U27</f>
        <v>124710.94125</v>
      </c>
      <c r="V8" s="35">
        <f>'Direct Costs'!V27</f>
        <v>130946.48831249996</v>
      </c>
      <c r="W8" s="35">
        <f>'Direct Costs'!W27</f>
        <v>130946.48831249996</v>
      </c>
      <c r="X8" s="35">
        <f>'Direct Costs'!X27</f>
        <v>130946.48831249996</v>
      </c>
      <c r="Y8" s="35">
        <f>'Direct Costs'!Y27</f>
        <v>137493.81272812508</v>
      </c>
      <c r="Z8" s="35">
        <f>'Direct Costs'!Z27</f>
        <v>137493.81272812508</v>
      </c>
      <c r="AA8" s="35">
        <f>'Direct Costs'!AA27</f>
        <v>137493.81272812508</v>
      </c>
      <c r="AB8" s="35">
        <f>'Direct Costs'!AB27</f>
        <v>144368.50336453132</v>
      </c>
      <c r="AC8" s="35">
        <f>'Direct Costs'!AC27</f>
        <v>144368.50336453132</v>
      </c>
      <c r="AD8" s="35">
        <f>'Direct Costs'!AD27</f>
        <v>144368.50336453132</v>
      </c>
      <c r="AE8" s="35">
        <f>'Direct Costs'!AE27</f>
        <v>151586.92853275791</v>
      </c>
      <c r="AF8" s="35">
        <f>'Direct Costs'!AF27</f>
        <v>151586.92853275791</v>
      </c>
      <c r="AG8" s="35">
        <f>'Direct Costs'!AG27</f>
        <v>151586.92853275791</v>
      </c>
      <c r="AH8" s="35">
        <f>'Direct Costs'!AH27</f>
        <v>159166.27495939579</v>
      </c>
      <c r="AI8" s="35">
        <f>'Direct Costs'!AI27</f>
        <v>159166.27495939579</v>
      </c>
      <c r="AJ8" s="35">
        <f>'Direct Costs'!AJ27</f>
        <v>159166.27495939579</v>
      </c>
      <c r="AK8" t="s">
        <v>98</v>
      </c>
    </row>
    <row r="9" spans="1:37" x14ac:dyDescent="0.25">
      <c r="E9" s="37" t="str">
        <f>'Direct Costs'!E49</f>
        <v>Total Stationaries</v>
      </c>
      <c r="F9" s="22"/>
      <c r="G9" s="22"/>
      <c r="H9" s="22"/>
      <c r="I9" s="22"/>
      <c r="J9" s="35">
        <f>'Direct Costs'!J49</f>
        <v>50641.200000000012</v>
      </c>
      <c r="K9" s="35">
        <f>'Direct Costs'!K49</f>
        <v>50641.200000000012</v>
      </c>
      <c r="L9" s="35">
        <f>'Direct Costs'!L49</f>
        <v>50641.200000000012</v>
      </c>
      <c r="M9" s="35">
        <f>'Direct Costs'!M49</f>
        <v>53173.259999999987</v>
      </c>
      <c r="N9" s="35">
        <f>'Direct Costs'!N49</f>
        <v>53173.259999999987</v>
      </c>
      <c r="O9" s="35">
        <f>'Direct Costs'!O49</f>
        <v>53173.259999999987</v>
      </c>
      <c r="P9" s="35">
        <f>'Direct Costs'!P49</f>
        <v>55831.922999999988</v>
      </c>
      <c r="Q9" s="35">
        <f>'Direct Costs'!Q49</f>
        <v>55831.922999999988</v>
      </c>
      <c r="R9" s="35">
        <f>'Direct Costs'!R49</f>
        <v>55831.922999999988</v>
      </c>
      <c r="S9" s="35">
        <f>'Direct Costs'!S49</f>
        <v>58623.519149999993</v>
      </c>
      <c r="T9" s="35">
        <f>'Direct Costs'!T49</f>
        <v>58623.519149999993</v>
      </c>
      <c r="U9" s="35">
        <f>'Direct Costs'!U49</f>
        <v>58623.519149999993</v>
      </c>
      <c r="V9" s="35">
        <f>'Direct Costs'!V49</f>
        <v>61554.695107500018</v>
      </c>
      <c r="W9" s="35">
        <f>'Direct Costs'!W49</f>
        <v>61554.695107500018</v>
      </c>
      <c r="X9" s="35">
        <f>'Direct Costs'!X49</f>
        <v>61554.695107500018</v>
      </c>
      <c r="Y9" s="35">
        <f>'Direct Costs'!Y49</f>
        <v>64632.429862875004</v>
      </c>
      <c r="Z9" s="35">
        <f>'Direct Costs'!Z49</f>
        <v>64632.429862875004</v>
      </c>
      <c r="AA9" s="35">
        <f>'Direct Costs'!AA49</f>
        <v>64632.429862875004</v>
      </c>
      <c r="AB9" s="35">
        <f>'Direct Costs'!AB49</f>
        <v>67864.051356018739</v>
      </c>
      <c r="AC9" s="35">
        <f>'Direct Costs'!AC49</f>
        <v>67864.051356018739</v>
      </c>
      <c r="AD9" s="35">
        <f>'Direct Costs'!AD49</f>
        <v>67864.051356018739</v>
      </c>
      <c r="AE9" s="35">
        <f>'Direct Costs'!AE49</f>
        <v>71257.253923819691</v>
      </c>
      <c r="AF9" s="35">
        <f>'Direct Costs'!AF49</f>
        <v>71257.253923819691</v>
      </c>
      <c r="AG9" s="35">
        <f>'Direct Costs'!AG49</f>
        <v>71257.253923819691</v>
      </c>
      <c r="AH9" s="35">
        <f>'Direct Costs'!AH49</f>
        <v>74820.116620010696</v>
      </c>
      <c r="AI9" s="35">
        <f>'Direct Costs'!AI49</f>
        <v>74820.116620010696</v>
      </c>
      <c r="AJ9" s="35">
        <f>'Direct Costs'!AJ49</f>
        <v>74820.116620010696</v>
      </c>
      <c r="AK9" t="s">
        <v>98</v>
      </c>
    </row>
    <row r="10" spans="1:37" x14ac:dyDescent="0.25">
      <c r="E10" s="37" t="str">
        <f>'Direct Costs'!E71</f>
        <v>Total Registration</v>
      </c>
      <c r="F10" s="22"/>
      <c r="G10" s="22"/>
      <c r="H10" s="22"/>
      <c r="I10" s="22"/>
      <c r="J10" s="35">
        <f>'Direct Costs'!J71</f>
        <v>1539</v>
      </c>
      <c r="K10" s="35">
        <f>'Direct Costs'!K71</f>
        <v>1539</v>
      </c>
      <c r="L10" s="35">
        <f>'Direct Costs'!L71</f>
        <v>1539</v>
      </c>
      <c r="M10" s="35">
        <f>'Direct Costs'!M71</f>
        <v>1615.9499999999996</v>
      </c>
      <c r="N10" s="35">
        <f>'Direct Costs'!N71</f>
        <v>1615.9499999999996</v>
      </c>
      <c r="O10" s="35">
        <f>'Direct Costs'!O71</f>
        <v>1615.9499999999996</v>
      </c>
      <c r="P10" s="35">
        <f>'Direct Costs'!P71</f>
        <v>1696.7474999999999</v>
      </c>
      <c r="Q10" s="35">
        <f>'Direct Costs'!Q71</f>
        <v>1696.7474999999999</v>
      </c>
      <c r="R10" s="35">
        <f>'Direct Costs'!R71</f>
        <v>1696.7474999999999</v>
      </c>
      <c r="S10" s="35">
        <f>'Direct Costs'!S71</f>
        <v>1781.5848749999993</v>
      </c>
      <c r="T10" s="35">
        <f>'Direct Costs'!T71</f>
        <v>1781.5848749999993</v>
      </c>
      <c r="U10" s="35">
        <f>'Direct Costs'!U71</f>
        <v>1781.5848749999993</v>
      </c>
      <c r="V10" s="35">
        <f>'Direct Costs'!V71</f>
        <v>1870.6641187499997</v>
      </c>
      <c r="W10" s="35">
        <f>'Direct Costs'!W71</f>
        <v>1870.6641187499997</v>
      </c>
      <c r="X10" s="35">
        <f>'Direct Costs'!X71</f>
        <v>1870.6641187499997</v>
      </c>
      <c r="Y10" s="35">
        <f>'Direct Costs'!Y71</f>
        <v>1964.1973246874991</v>
      </c>
      <c r="Z10" s="35">
        <f>'Direct Costs'!Z71</f>
        <v>1964.1973246874991</v>
      </c>
      <c r="AA10" s="35">
        <f>'Direct Costs'!AA71</f>
        <v>1964.1973246874991</v>
      </c>
      <c r="AB10" s="35">
        <f>'Direct Costs'!AB71</f>
        <v>2062.4071909218746</v>
      </c>
      <c r="AC10" s="35">
        <f>'Direct Costs'!AC71</f>
        <v>2062.4071909218746</v>
      </c>
      <c r="AD10" s="35">
        <f>'Direct Costs'!AD71</f>
        <v>2062.4071909218746</v>
      </c>
      <c r="AE10" s="35">
        <f>'Direct Costs'!AE71</f>
        <v>2165.5275504679694</v>
      </c>
      <c r="AF10" s="35">
        <f>'Direct Costs'!AF71</f>
        <v>2165.5275504679694</v>
      </c>
      <c r="AG10" s="35">
        <f>'Direct Costs'!AG71</f>
        <v>2165.5275504679694</v>
      </c>
      <c r="AH10" s="35">
        <f>'Direct Costs'!AH71</f>
        <v>2273.8039279913678</v>
      </c>
      <c r="AI10" s="35">
        <f>'Direct Costs'!AI71</f>
        <v>2273.8039279913678</v>
      </c>
      <c r="AJ10" s="35">
        <f>'Direct Costs'!AJ71</f>
        <v>2273.8039279913678</v>
      </c>
    </row>
    <row r="11" spans="1:37" x14ac:dyDescent="0.25">
      <c r="E11" s="37" t="str">
        <f>'Direct Costs'!E93</f>
        <v>Total Exams &amp; Library</v>
      </c>
      <c r="F11" s="22"/>
      <c r="G11" s="22"/>
      <c r="H11" s="22"/>
      <c r="I11" s="22"/>
      <c r="J11" s="35">
        <f>'Direct Costs'!J93</f>
        <v>4411.7999999999984</v>
      </c>
      <c r="K11" s="35">
        <f>'Direct Costs'!K93</f>
        <v>4411.7999999999984</v>
      </c>
      <c r="L11" s="35">
        <f>'Direct Costs'!L93</f>
        <v>4411.7999999999984</v>
      </c>
      <c r="M11" s="35">
        <f>'Direct Costs'!M93</f>
        <v>4632.3900000000003</v>
      </c>
      <c r="N11" s="35">
        <f>'Direct Costs'!N93</f>
        <v>4632.3900000000003</v>
      </c>
      <c r="O11" s="35">
        <f>'Direct Costs'!O93</f>
        <v>4632.3900000000003</v>
      </c>
      <c r="P11" s="35">
        <f>'Direct Costs'!P93</f>
        <v>4864.009500000001</v>
      </c>
      <c r="Q11" s="35">
        <f>'Direct Costs'!Q93</f>
        <v>4864.009500000001</v>
      </c>
      <c r="R11" s="35">
        <f>'Direct Costs'!R93</f>
        <v>4864.009500000001</v>
      </c>
      <c r="S11" s="35">
        <f>'Direct Costs'!S93</f>
        <v>5107.2099749999998</v>
      </c>
      <c r="T11" s="35">
        <f>'Direct Costs'!T93</f>
        <v>5107.2099749999998</v>
      </c>
      <c r="U11" s="35">
        <f>'Direct Costs'!U93</f>
        <v>5107.2099749999998</v>
      </c>
      <c r="V11" s="35">
        <f>'Direct Costs'!V93</f>
        <v>5362.57047375</v>
      </c>
      <c r="W11" s="35">
        <f>'Direct Costs'!W93</f>
        <v>5362.57047375</v>
      </c>
      <c r="X11" s="35">
        <f>'Direct Costs'!X93</f>
        <v>5362.57047375</v>
      </c>
      <c r="Y11" s="35">
        <f>'Direct Costs'!Y93</f>
        <v>5630.6989974374983</v>
      </c>
      <c r="Z11" s="35">
        <f>'Direct Costs'!Z93</f>
        <v>5630.6989974374983</v>
      </c>
      <c r="AA11" s="35">
        <f>'Direct Costs'!AA93</f>
        <v>5630.6989974374983</v>
      </c>
      <c r="AB11" s="35">
        <f>'Direct Costs'!AB93</f>
        <v>5912.2339473093771</v>
      </c>
      <c r="AC11" s="35">
        <f>'Direct Costs'!AC93</f>
        <v>5912.2339473093771</v>
      </c>
      <c r="AD11" s="35">
        <f>'Direct Costs'!AD93</f>
        <v>5912.2339473093771</v>
      </c>
      <c r="AE11" s="35">
        <f>'Direct Costs'!AE93</f>
        <v>6207.8456446748442</v>
      </c>
      <c r="AF11" s="35">
        <f>'Direct Costs'!AF93</f>
        <v>6207.8456446748442</v>
      </c>
      <c r="AG11" s="35">
        <f>'Direct Costs'!AG93</f>
        <v>6207.8456446748442</v>
      </c>
      <c r="AH11" s="35">
        <f>'Direct Costs'!AH93</f>
        <v>6518.237926908585</v>
      </c>
      <c r="AI11" s="35">
        <f>'Direct Costs'!AI93</f>
        <v>6518.237926908585</v>
      </c>
      <c r="AJ11" s="35">
        <f>'Direct Costs'!AJ93</f>
        <v>6518.237926908585</v>
      </c>
    </row>
    <row r="12" spans="1:37" x14ac:dyDescent="0.25">
      <c r="E12" s="37" t="str">
        <f>'Direct Costs'!E115</f>
        <v>Total Correspondence</v>
      </c>
      <c r="F12" s="22"/>
      <c r="G12" s="22"/>
      <c r="H12" s="22"/>
      <c r="I12" s="22"/>
      <c r="J12" s="35">
        <f>'Direct Costs'!J115</f>
        <v>5130</v>
      </c>
      <c r="K12" s="35">
        <f>'Direct Costs'!K115</f>
        <v>5130</v>
      </c>
      <c r="L12" s="35">
        <f>'Direct Costs'!L115</f>
        <v>5130</v>
      </c>
      <c r="M12" s="35">
        <f>'Direct Costs'!M115</f>
        <v>5386.5</v>
      </c>
      <c r="N12" s="35">
        <f>'Direct Costs'!N115</f>
        <v>5386.5</v>
      </c>
      <c r="O12" s="35">
        <f>'Direct Costs'!O115</f>
        <v>5386.5</v>
      </c>
      <c r="P12" s="35">
        <f>'Direct Costs'!P115</f>
        <v>5655.8250000000016</v>
      </c>
      <c r="Q12" s="35">
        <f>'Direct Costs'!Q115</f>
        <v>5655.8250000000016</v>
      </c>
      <c r="R12" s="35">
        <f>'Direct Costs'!R115</f>
        <v>5655.8250000000016</v>
      </c>
      <c r="S12" s="35">
        <f>'Direct Costs'!S115</f>
        <v>5938.6162500000019</v>
      </c>
      <c r="T12" s="35">
        <f>'Direct Costs'!T115</f>
        <v>5938.6162500000019</v>
      </c>
      <c r="U12" s="35">
        <f>'Direct Costs'!U115</f>
        <v>5938.6162500000019</v>
      </c>
      <c r="V12" s="35">
        <f>'Direct Costs'!V115</f>
        <v>6235.547062499998</v>
      </c>
      <c r="W12" s="35">
        <f>'Direct Costs'!W115</f>
        <v>6235.547062499998</v>
      </c>
      <c r="X12" s="35">
        <f>'Direct Costs'!X115</f>
        <v>6235.547062499998</v>
      </c>
      <c r="Y12" s="35">
        <f>'Direct Costs'!Y115</f>
        <v>6547.3244156249984</v>
      </c>
      <c r="Z12" s="35">
        <f>'Direct Costs'!Z115</f>
        <v>6547.3244156249984</v>
      </c>
      <c r="AA12" s="35">
        <f>'Direct Costs'!AA115</f>
        <v>6547.3244156249984</v>
      </c>
      <c r="AB12" s="35">
        <f>'Direct Costs'!AB115</f>
        <v>6874.6906364062497</v>
      </c>
      <c r="AC12" s="35">
        <f>'Direct Costs'!AC115</f>
        <v>6874.6906364062497</v>
      </c>
      <c r="AD12" s="35">
        <f>'Direct Costs'!AD115</f>
        <v>6874.6906364062497</v>
      </c>
      <c r="AE12" s="35">
        <f>'Direct Costs'!AE115</f>
        <v>7218.4251682265631</v>
      </c>
      <c r="AF12" s="35">
        <f>'Direct Costs'!AF115</f>
        <v>7218.4251682265631</v>
      </c>
      <c r="AG12" s="35">
        <f>'Direct Costs'!AG115</f>
        <v>7218.4251682265631</v>
      </c>
      <c r="AH12" s="35">
        <f>'Direct Costs'!AH115</f>
        <v>7579.346426637896</v>
      </c>
      <c r="AI12" s="35">
        <f>'Direct Costs'!AI115</f>
        <v>7579.346426637896</v>
      </c>
      <c r="AJ12" s="35">
        <f>'Direct Costs'!AJ115</f>
        <v>7579.346426637896</v>
      </c>
    </row>
    <row r="13" spans="1:37" x14ac:dyDescent="0.25">
      <c r="E13" s="37" t="str">
        <f>'Direct Costs'!E137</f>
        <v>Total Exams</v>
      </c>
      <c r="F13" s="22"/>
      <c r="G13" s="22"/>
      <c r="H13" s="22"/>
      <c r="I13" s="22"/>
      <c r="J13" s="35">
        <f>'Direct Costs'!J137</f>
        <v>4411.7999999999984</v>
      </c>
      <c r="K13" s="35">
        <f>'Direct Costs'!K137</f>
        <v>4411.7999999999984</v>
      </c>
      <c r="L13" s="35">
        <f>'Direct Costs'!L137</f>
        <v>4411.7999999999984</v>
      </c>
      <c r="M13" s="35">
        <f>'Direct Costs'!M137</f>
        <v>4632.3900000000003</v>
      </c>
      <c r="N13" s="35">
        <f>'Direct Costs'!N137</f>
        <v>4632.3900000000003</v>
      </c>
      <c r="O13" s="35">
        <f>'Direct Costs'!O137</f>
        <v>4632.3900000000003</v>
      </c>
      <c r="P13" s="35">
        <f>'Direct Costs'!P137</f>
        <v>4864.009500000001</v>
      </c>
      <c r="Q13" s="35">
        <f>'Direct Costs'!Q137</f>
        <v>4864.009500000001</v>
      </c>
      <c r="R13" s="35">
        <f>'Direct Costs'!R137</f>
        <v>4864.009500000001</v>
      </c>
      <c r="S13" s="35">
        <f>'Direct Costs'!S137</f>
        <v>5107.2099749999998</v>
      </c>
      <c r="T13" s="35">
        <f>'Direct Costs'!T137</f>
        <v>5107.2099749999998</v>
      </c>
      <c r="U13" s="35">
        <f>'Direct Costs'!U137</f>
        <v>5107.2099749999998</v>
      </c>
      <c r="V13" s="35">
        <f>'Direct Costs'!V137</f>
        <v>5362.57047375</v>
      </c>
      <c r="W13" s="35">
        <f>'Direct Costs'!W137</f>
        <v>5362.57047375</v>
      </c>
      <c r="X13" s="35">
        <f>'Direct Costs'!X137</f>
        <v>5362.57047375</v>
      </c>
      <c r="Y13" s="35">
        <f>'Direct Costs'!Y137</f>
        <v>5630.6989974374983</v>
      </c>
      <c r="Z13" s="35">
        <f>'Direct Costs'!Z137</f>
        <v>5630.6989974374983</v>
      </c>
      <c r="AA13" s="35">
        <f>'Direct Costs'!AA137</f>
        <v>5630.6989974374983</v>
      </c>
      <c r="AB13" s="35">
        <f>'Direct Costs'!AB137</f>
        <v>5912.2339473093771</v>
      </c>
      <c r="AC13" s="35">
        <f>'Direct Costs'!AC137</f>
        <v>5912.2339473093771</v>
      </c>
      <c r="AD13" s="35">
        <f>'Direct Costs'!AD137</f>
        <v>5912.2339473093771</v>
      </c>
      <c r="AE13" s="35">
        <f>'Direct Costs'!AE137</f>
        <v>6207.8456446748442</v>
      </c>
      <c r="AF13" s="35">
        <f>'Direct Costs'!AF137</f>
        <v>6207.8456446748442</v>
      </c>
      <c r="AG13" s="35">
        <f>'Direct Costs'!AG137</f>
        <v>6207.8456446748442</v>
      </c>
      <c r="AH13" s="35">
        <f>'Direct Costs'!AH137</f>
        <v>6518.237926908585</v>
      </c>
      <c r="AI13" s="35">
        <f>'Direct Costs'!AI137</f>
        <v>6518.237926908585</v>
      </c>
      <c r="AJ13" s="35">
        <f>'Direct Costs'!AJ137</f>
        <v>6518.237926908585</v>
      </c>
    </row>
    <row r="14" spans="1:37" x14ac:dyDescent="0.25">
      <c r="E14" s="37" t="str">
        <f>'Direct Costs'!E159</f>
        <v>Total Science &amp; Lab</v>
      </c>
      <c r="F14" s="22"/>
      <c r="G14" s="22"/>
      <c r="H14" s="22"/>
      <c r="I14" s="22"/>
      <c r="J14" s="35">
        <f>'Direct Costs'!J159</f>
        <v>10670.400000000003</v>
      </c>
      <c r="K14" s="35">
        <f>'Direct Costs'!K159</f>
        <v>10670.400000000003</v>
      </c>
      <c r="L14" s="35">
        <f>'Direct Costs'!L159</f>
        <v>10670.400000000003</v>
      </c>
      <c r="M14" s="35">
        <f>'Direct Costs'!M159</f>
        <v>11203.920000000004</v>
      </c>
      <c r="N14" s="35">
        <f>'Direct Costs'!N159</f>
        <v>11203.920000000004</v>
      </c>
      <c r="O14" s="35">
        <f>'Direct Costs'!O159</f>
        <v>11203.920000000004</v>
      </c>
      <c r="P14" s="35">
        <f>'Direct Costs'!P159</f>
        <v>11764.116000000004</v>
      </c>
      <c r="Q14" s="35">
        <f>'Direct Costs'!Q159</f>
        <v>11764.116000000004</v>
      </c>
      <c r="R14" s="35">
        <f>'Direct Costs'!R159</f>
        <v>11764.116000000004</v>
      </c>
      <c r="S14" s="35">
        <f>'Direct Costs'!S159</f>
        <v>12352.3218</v>
      </c>
      <c r="T14" s="35">
        <f>'Direct Costs'!T159</f>
        <v>12352.3218</v>
      </c>
      <c r="U14" s="35">
        <f>'Direct Costs'!U159</f>
        <v>12352.3218</v>
      </c>
      <c r="V14" s="35">
        <f>'Direct Costs'!V159</f>
        <v>12969.937890000003</v>
      </c>
      <c r="W14" s="35">
        <f>'Direct Costs'!W159</f>
        <v>12969.937890000003</v>
      </c>
      <c r="X14" s="35">
        <f>'Direct Costs'!X159</f>
        <v>12969.937890000003</v>
      </c>
      <c r="Y14" s="35">
        <f>'Direct Costs'!Y159</f>
        <v>13618.434784500003</v>
      </c>
      <c r="Z14" s="35">
        <f>'Direct Costs'!Z159</f>
        <v>13618.434784500003</v>
      </c>
      <c r="AA14" s="35">
        <f>'Direct Costs'!AA159</f>
        <v>13618.434784500003</v>
      </c>
      <c r="AB14" s="35">
        <f>'Direct Costs'!AB159</f>
        <v>14299.356523725008</v>
      </c>
      <c r="AC14" s="35">
        <f>'Direct Costs'!AC159</f>
        <v>14299.356523725008</v>
      </c>
      <c r="AD14" s="35">
        <f>'Direct Costs'!AD159</f>
        <v>14299.356523725008</v>
      </c>
      <c r="AE14" s="35">
        <f>'Direct Costs'!AE159</f>
        <v>15014.324349911252</v>
      </c>
      <c r="AF14" s="35">
        <f>'Direct Costs'!AF159</f>
        <v>15014.324349911252</v>
      </c>
      <c r="AG14" s="35">
        <f>'Direct Costs'!AG159</f>
        <v>15014.324349911252</v>
      </c>
      <c r="AH14" s="35">
        <f>'Direct Costs'!AH159</f>
        <v>15765.040567406822</v>
      </c>
      <c r="AI14" s="35">
        <f>'Direct Costs'!AI159</f>
        <v>15765.040567406822</v>
      </c>
      <c r="AJ14" s="35">
        <f>'Direct Costs'!AJ159</f>
        <v>15765.040567406822</v>
      </c>
    </row>
    <row r="15" spans="1:37" x14ac:dyDescent="0.25">
      <c r="E15" s="37" t="str">
        <f>'Direct Costs'!E181</f>
        <v>Total First Aid &amp; Toiletries</v>
      </c>
      <c r="F15" s="22"/>
      <c r="G15" s="22"/>
      <c r="H15" s="22"/>
      <c r="I15" s="22"/>
      <c r="J15" s="35">
        <f>'Direct Costs'!J181</f>
        <v>12825</v>
      </c>
      <c r="K15" s="35">
        <f>'Direct Costs'!K181</f>
        <v>12825</v>
      </c>
      <c r="L15" s="35">
        <f>'Direct Costs'!L181</f>
        <v>12825</v>
      </c>
      <c r="M15" s="35">
        <f>'Direct Costs'!M181</f>
        <v>13466.25</v>
      </c>
      <c r="N15" s="35">
        <f>'Direct Costs'!N181</f>
        <v>13466.25</v>
      </c>
      <c r="O15" s="35">
        <f>'Direct Costs'!O181</f>
        <v>13466.25</v>
      </c>
      <c r="P15" s="35">
        <f>'Direct Costs'!P181</f>
        <v>14139.5625</v>
      </c>
      <c r="Q15" s="35">
        <f>'Direct Costs'!Q181</f>
        <v>14139.5625</v>
      </c>
      <c r="R15" s="35">
        <f>'Direct Costs'!R181</f>
        <v>14139.5625</v>
      </c>
      <c r="S15" s="35">
        <f>'Direct Costs'!S181</f>
        <v>14846.540625000005</v>
      </c>
      <c r="T15" s="35">
        <f>'Direct Costs'!T181</f>
        <v>14846.540625000005</v>
      </c>
      <c r="U15" s="35">
        <f>'Direct Costs'!U181</f>
        <v>14846.540625000005</v>
      </c>
      <c r="V15" s="35">
        <f>'Direct Costs'!V181</f>
        <v>15588.86765625</v>
      </c>
      <c r="W15" s="35">
        <f>'Direct Costs'!W181</f>
        <v>15588.86765625</v>
      </c>
      <c r="X15" s="35">
        <f>'Direct Costs'!X181</f>
        <v>15588.86765625</v>
      </c>
      <c r="Y15" s="35">
        <f>'Direct Costs'!Y181</f>
        <v>16368.311039062495</v>
      </c>
      <c r="Z15" s="35">
        <f>'Direct Costs'!Z181</f>
        <v>16368.311039062495</v>
      </c>
      <c r="AA15" s="35">
        <f>'Direct Costs'!AA181</f>
        <v>16368.311039062495</v>
      </c>
      <c r="AB15" s="35">
        <f>'Direct Costs'!AB181</f>
        <v>17186.726591015635</v>
      </c>
      <c r="AC15" s="35">
        <f>'Direct Costs'!AC181</f>
        <v>17186.726591015635</v>
      </c>
      <c r="AD15" s="35">
        <f>'Direct Costs'!AD181</f>
        <v>17186.726591015635</v>
      </c>
      <c r="AE15" s="35">
        <f>'Direct Costs'!AE181</f>
        <v>18046.062920566415</v>
      </c>
      <c r="AF15" s="35">
        <f>'Direct Costs'!AF181</f>
        <v>18046.062920566415</v>
      </c>
      <c r="AG15" s="35">
        <f>'Direct Costs'!AG181</f>
        <v>18046.062920566415</v>
      </c>
      <c r="AH15" s="35">
        <f>'Direct Costs'!AH181</f>
        <v>18948.366066594739</v>
      </c>
      <c r="AI15" s="35">
        <f>'Direct Costs'!AI181</f>
        <v>18948.366066594739</v>
      </c>
      <c r="AJ15" s="35">
        <f>'Direct Costs'!AJ181</f>
        <v>18948.366066594739</v>
      </c>
    </row>
    <row r="16" spans="1:37" x14ac:dyDescent="0.25">
      <c r="E16" s="37" t="str">
        <f>'Direct Costs'!E203</f>
        <v>Total Uniform</v>
      </c>
      <c r="F16" s="22"/>
      <c r="G16" s="22"/>
      <c r="H16" s="22"/>
      <c r="I16" s="22"/>
      <c r="J16" s="35">
        <f>'Direct Costs'!J203</f>
        <v>124038</v>
      </c>
      <c r="K16" s="35">
        <f>'Direct Costs'!K203</f>
        <v>124038</v>
      </c>
      <c r="L16" s="35">
        <f>'Direct Costs'!L203</f>
        <v>124038</v>
      </c>
      <c r="M16" s="35">
        <f>'Direct Costs'!M203</f>
        <v>130239.90000000004</v>
      </c>
      <c r="N16" s="35">
        <f>'Direct Costs'!N203</f>
        <v>130239.90000000004</v>
      </c>
      <c r="O16" s="35">
        <f>'Direct Costs'!O203</f>
        <v>130239.90000000004</v>
      </c>
      <c r="P16" s="35">
        <f>'Direct Costs'!P203</f>
        <v>136751.89499999999</v>
      </c>
      <c r="Q16" s="35">
        <f>'Direct Costs'!Q203</f>
        <v>136751.89499999999</v>
      </c>
      <c r="R16" s="35">
        <f>'Direct Costs'!R203</f>
        <v>136751.89499999999</v>
      </c>
      <c r="S16" s="35">
        <f>'Direct Costs'!S203</f>
        <v>143589.48974999998</v>
      </c>
      <c r="T16" s="35">
        <f>'Direct Costs'!T203</f>
        <v>143589.48974999998</v>
      </c>
      <c r="U16" s="35">
        <f>'Direct Costs'!U203</f>
        <v>143589.48974999998</v>
      </c>
      <c r="V16" s="35">
        <f>'Direct Costs'!V203</f>
        <v>150768.96423750004</v>
      </c>
      <c r="W16" s="35">
        <f>'Direct Costs'!W203</f>
        <v>150768.96423750004</v>
      </c>
      <c r="X16" s="35">
        <f>'Direct Costs'!X203</f>
        <v>150768.96423750004</v>
      </c>
      <c r="Y16" s="35">
        <f>'Direct Costs'!Y203</f>
        <v>158307.41244937506</v>
      </c>
      <c r="Z16" s="35">
        <f>'Direct Costs'!Z203</f>
        <v>158307.41244937506</v>
      </c>
      <c r="AA16" s="35">
        <f>'Direct Costs'!AA203</f>
        <v>158307.41244937506</v>
      </c>
      <c r="AB16" s="35">
        <f>'Direct Costs'!AB203</f>
        <v>166222.78307184382</v>
      </c>
      <c r="AC16" s="35">
        <f>'Direct Costs'!AC203</f>
        <v>166222.78307184382</v>
      </c>
      <c r="AD16" s="35">
        <f>'Direct Costs'!AD203</f>
        <v>166222.78307184382</v>
      </c>
      <c r="AE16" s="35">
        <f>'Direct Costs'!AE203</f>
        <v>174533.92222543596</v>
      </c>
      <c r="AF16" s="35">
        <f>'Direct Costs'!AF203</f>
        <v>174533.92222543596</v>
      </c>
      <c r="AG16" s="35">
        <f>'Direct Costs'!AG203</f>
        <v>174533.92222543596</v>
      </c>
      <c r="AH16" s="35">
        <f>'Direct Costs'!AH203</f>
        <v>183260.61833670776</v>
      </c>
      <c r="AI16" s="35">
        <f>'Direct Costs'!AI203</f>
        <v>183260.61833670776</v>
      </c>
      <c r="AJ16" s="35">
        <f>'Direct Costs'!AJ203</f>
        <v>183260.61833670776</v>
      </c>
    </row>
    <row r="17" spans="2:37" x14ac:dyDescent="0.25">
      <c r="E17" s="37" t="str">
        <f>'Direct Costs'!E225</f>
        <v>Total Extra Curricular</v>
      </c>
      <c r="F17" s="22"/>
      <c r="G17" s="22"/>
      <c r="H17" s="22"/>
      <c r="I17" s="22"/>
      <c r="J17" s="35">
        <f>'Direct Costs'!J225</f>
        <v>16416</v>
      </c>
      <c r="K17" s="35">
        <f>'Direct Costs'!K225</f>
        <v>16416</v>
      </c>
      <c r="L17" s="35">
        <f>'Direct Costs'!L225</f>
        <v>16416</v>
      </c>
      <c r="M17" s="35">
        <f>'Direct Costs'!M225</f>
        <v>17236.800000000007</v>
      </c>
      <c r="N17" s="35">
        <f>'Direct Costs'!N225</f>
        <v>17236.800000000007</v>
      </c>
      <c r="O17" s="35">
        <f>'Direct Costs'!O225</f>
        <v>17236.800000000007</v>
      </c>
      <c r="P17" s="35">
        <f>'Direct Costs'!P225</f>
        <v>18098.64</v>
      </c>
      <c r="Q17" s="35">
        <f>'Direct Costs'!Q225</f>
        <v>18098.64</v>
      </c>
      <c r="R17" s="35">
        <f>'Direct Costs'!R225</f>
        <v>18098.64</v>
      </c>
      <c r="S17" s="35">
        <f>'Direct Costs'!S225</f>
        <v>19003.572000000007</v>
      </c>
      <c r="T17" s="35">
        <f>'Direct Costs'!T225</f>
        <v>19003.572000000007</v>
      </c>
      <c r="U17" s="35">
        <f>'Direct Costs'!U225</f>
        <v>19003.572000000007</v>
      </c>
      <c r="V17" s="35">
        <f>'Direct Costs'!V225</f>
        <v>19953.75060000001</v>
      </c>
      <c r="W17" s="35">
        <f>'Direct Costs'!W225</f>
        <v>19953.75060000001</v>
      </c>
      <c r="X17" s="35">
        <f>'Direct Costs'!X225</f>
        <v>19953.75060000001</v>
      </c>
      <c r="Y17" s="35">
        <f>'Direct Costs'!Y225</f>
        <v>20951.438130000006</v>
      </c>
      <c r="Z17" s="35">
        <f>'Direct Costs'!Z225</f>
        <v>20951.438130000006</v>
      </c>
      <c r="AA17" s="35">
        <f>'Direct Costs'!AA225</f>
        <v>20951.438130000006</v>
      </c>
      <c r="AB17" s="35">
        <f>'Direct Costs'!AB225</f>
        <v>21999.010036500007</v>
      </c>
      <c r="AC17" s="35">
        <f>'Direct Costs'!AC225</f>
        <v>21999.010036500007</v>
      </c>
      <c r="AD17" s="35">
        <f>'Direct Costs'!AD225</f>
        <v>21999.010036500007</v>
      </c>
      <c r="AE17" s="35">
        <f>'Direct Costs'!AE225</f>
        <v>23098.960538324998</v>
      </c>
      <c r="AF17" s="35">
        <f>'Direct Costs'!AF225</f>
        <v>23098.960538324998</v>
      </c>
      <c r="AG17" s="35">
        <f>'Direct Costs'!AG225</f>
        <v>23098.960538324998</v>
      </c>
      <c r="AH17" s="35">
        <f>'Direct Costs'!AH225</f>
        <v>24253.90856524125</v>
      </c>
      <c r="AI17" s="35">
        <f>'Direct Costs'!AI225</f>
        <v>24253.90856524125</v>
      </c>
      <c r="AJ17" s="35">
        <f>'Direct Costs'!AJ225</f>
        <v>24253.90856524125</v>
      </c>
    </row>
    <row r="18" spans="2:37" x14ac:dyDescent="0.25">
      <c r="E18" s="37" t="str">
        <f>Salaries!E42</f>
        <v>Total Salaries</v>
      </c>
      <c r="F18" s="37"/>
      <c r="G18" s="37"/>
      <c r="H18" s="37"/>
      <c r="I18" s="37"/>
      <c r="J18" s="22">
        <f>Salaries!J42</f>
        <v>483665</v>
      </c>
      <c r="K18" s="22">
        <f>Salaries!K42</f>
        <v>483665</v>
      </c>
      <c r="L18" s="22">
        <f>Salaries!L42</f>
        <v>483665</v>
      </c>
      <c r="M18" s="22">
        <f>Salaries!M42</f>
        <v>773115</v>
      </c>
      <c r="N18" s="22">
        <f>Salaries!N42</f>
        <v>773115</v>
      </c>
      <c r="O18" s="22">
        <f>Salaries!O42</f>
        <v>773115</v>
      </c>
      <c r="P18" s="22">
        <f>Salaries!P42</f>
        <v>811770.75</v>
      </c>
      <c r="Q18" s="22">
        <f>Salaries!Q42</f>
        <v>811770.75</v>
      </c>
      <c r="R18" s="22">
        <f>Salaries!R42</f>
        <v>811770.75</v>
      </c>
      <c r="S18" s="22">
        <f>Salaries!S42</f>
        <v>852359.28749999998</v>
      </c>
      <c r="T18" s="22">
        <f>Salaries!T42</f>
        <v>852359.28749999998</v>
      </c>
      <c r="U18" s="22">
        <f>Salaries!U42</f>
        <v>852359.28749999998</v>
      </c>
      <c r="V18" s="22">
        <f>Salaries!V42</f>
        <v>894977.25187500007</v>
      </c>
      <c r="W18" s="22">
        <f>Salaries!W42</f>
        <v>894977.25187500007</v>
      </c>
      <c r="X18" s="22">
        <f>Salaries!X42</f>
        <v>894977.25187500007</v>
      </c>
      <c r="Y18" s="22">
        <f>Salaries!Y42</f>
        <v>939726.11446875019</v>
      </c>
      <c r="Z18" s="22">
        <f>Salaries!Z42</f>
        <v>939726.11446875019</v>
      </c>
      <c r="AA18" s="22">
        <f>Salaries!AA42</f>
        <v>939726.11446875019</v>
      </c>
      <c r="AB18" s="22">
        <f>Salaries!AB42</f>
        <v>986712.42019218765</v>
      </c>
      <c r="AC18" s="22">
        <f>Salaries!AC42</f>
        <v>986712.42019218765</v>
      </c>
      <c r="AD18" s="22">
        <f>Salaries!AD42</f>
        <v>986712.42019218765</v>
      </c>
      <c r="AE18" s="22">
        <f>Salaries!AE42</f>
        <v>1036048.0412017971</v>
      </c>
      <c r="AF18" s="22">
        <f>Salaries!AF42</f>
        <v>1036048.0412017971</v>
      </c>
      <c r="AG18" s="22">
        <f>Salaries!AG42</f>
        <v>1036048.0412017971</v>
      </c>
      <c r="AH18" s="22">
        <f>Salaries!AH42</f>
        <v>1087850.4432618869</v>
      </c>
      <c r="AI18" s="22">
        <f>Salaries!AI42</f>
        <v>1087850.4432618869</v>
      </c>
      <c r="AJ18" s="22">
        <f>Salaries!AJ42</f>
        <v>1087850.4432618869</v>
      </c>
      <c r="AK18" s="37"/>
    </row>
    <row r="19" spans="2:37" x14ac:dyDescent="0.25">
      <c r="E19" s="37" t="s">
        <v>113</v>
      </c>
      <c r="J19" s="9">
        <f>-SUM(J8:J18)</f>
        <v>-821478.2</v>
      </c>
      <c r="K19" s="9">
        <f t="shared" ref="K19:AJ19" si="0">-SUM(K8:K18)</f>
        <v>-821478.2</v>
      </c>
      <c r="L19" s="9">
        <f t="shared" si="0"/>
        <v>-821478.2</v>
      </c>
      <c r="M19" s="9">
        <f t="shared" si="0"/>
        <v>-1127818.8600000001</v>
      </c>
      <c r="N19" s="9">
        <f t="shared" si="0"/>
        <v>-1127818.8600000001</v>
      </c>
      <c r="O19" s="9">
        <f t="shared" si="0"/>
        <v>-1127818.8600000001</v>
      </c>
      <c r="P19" s="9">
        <f t="shared" si="0"/>
        <v>-1184209.8030000001</v>
      </c>
      <c r="Q19" s="9">
        <f t="shared" si="0"/>
        <v>-1184209.8030000001</v>
      </c>
      <c r="R19" s="9">
        <f t="shared" si="0"/>
        <v>-1184209.8030000001</v>
      </c>
      <c r="S19" s="9">
        <f t="shared" si="0"/>
        <v>-1243420.2931499998</v>
      </c>
      <c r="T19" s="9">
        <f t="shared" si="0"/>
        <v>-1243420.2931499998</v>
      </c>
      <c r="U19" s="9">
        <f t="shared" si="0"/>
        <v>-1243420.2931499998</v>
      </c>
      <c r="V19" s="9">
        <f t="shared" si="0"/>
        <v>-1305591.3078075</v>
      </c>
      <c r="W19" s="9">
        <f t="shared" si="0"/>
        <v>-1305591.3078075</v>
      </c>
      <c r="X19" s="9">
        <f t="shared" si="0"/>
        <v>-1305591.3078075</v>
      </c>
      <c r="Y19" s="9">
        <f t="shared" si="0"/>
        <v>-1370870.8731978755</v>
      </c>
      <c r="Z19" s="9">
        <f t="shared" si="0"/>
        <v>-1370870.8731978755</v>
      </c>
      <c r="AA19" s="9">
        <f t="shared" si="0"/>
        <v>-1370870.8731978755</v>
      </c>
      <c r="AB19" s="9">
        <f t="shared" si="0"/>
        <v>-1439414.416857769</v>
      </c>
      <c r="AC19" s="9">
        <f t="shared" si="0"/>
        <v>-1439414.416857769</v>
      </c>
      <c r="AD19" s="9">
        <f t="shared" si="0"/>
        <v>-1439414.416857769</v>
      </c>
      <c r="AE19" s="9">
        <f t="shared" si="0"/>
        <v>-1511385.1377006576</v>
      </c>
      <c r="AF19" s="9">
        <f t="shared" si="0"/>
        <v>-1511385.1377006576</v>
      </c>
      <c r="AG19" s="9">
        <f t="shared" si="0"/>
        <v>-1511385.1377006576</v>
      </c>
      <c r="AH19" s="9">
        <f t="shared" si="0"/>
        <v>-1586954.3945856905</v>
      </c>
      <c r="AI19" s="9">
        <f t="shared" si="0"/>
        <v>-1586954.3945856905</v>
      </c>
      <c r="AJ19" s="9">
        <f t="shared" si="0"/>
        <v>-1586954.3945856905</v>
      </c>
    </row>
    <row r="20" spans="2:37" s="34" customFormat="1" x14ac:dyDescent="0.25">
      <c r="E20" s="34" t="s">
        <v>135</v>
      </c>
      <c r="J20" s="76">
        <f>J7+J19</f>
        <v>1280282.8</v>
      </c>
      <c r="K20" s="76">
        <f t="shared" ref="K20:AJ20" si="1">K7+K19</f>
        <v>1280282.8</v>
      </c>
      <c r="L20" s="76">
        <f t="shared" si="1"/>
        <v>1280282.8</v>
      </c>
      <c r="M20" s="76">
        <f t="shared" si="1"/>
        <v>1079030.1900000002</v>
      </c>
      <c r="N20" s="76">
        <f t="shared" si="1"/>
        <v>1079030.1900000002</v>
      </c>
      <c r="O20" s="76">
        <f t="shared" si="1"/>
        <v>1079030.1900000002</v>
      </c>
      <c r="P20" s="76">
        <f t="shared" si="1"/>
        <v>1132981.6994999999</v>
      </c>
      <c r="Q20" s="76">
        <f t="shared" si="1"/>
        <v>1132981.6994999999</v>
      </c>
      <c r="R20" s="76">
        <f t="shared" si="1"/>
        <v>1132981.6994999999</v>
      </c>
      <c r="S20" s="76">
        <f t="shared" si="1"/>
        <v>1189630.7844750001</v>
      </c>
      <c r="T20" s="76">
        <f t="shared" si="1"/>
        <v>1189630.7844750001</v>
      </c>
      <c r="U20" s="76">
        <f t="shared" si="1"/>
        <v>1189630.7844750001</v>
      </c>
      <c r="V20" s="76">
        <f t="shared" si="1"/>
        <v>1249112.3236987502</v>
      </c>
      <c r="W20" s="76">
        <f t="shared" si="1"/>
        <v>1249112.3236987502</v>
      </c>
      <c r="X20" s="76">
        <f t="shared" si="1"/>
        <v>1249112.3236987502</v>
      </c>
      <c r="Y20" s="76">
        <f t="shared" si="1"/>
        <v>1311567.9398836871</v>
      </c>
      <c r="Z20" s="76">
        <f t="shared" si="1"/>
        <v>1311567.9398836871</v>
      </c>
      <c r="AA20" s="76">
        <f t="shared" si="1"/>
        <v>1311567.9398836871</v>
      </c>
      <c r="AB20" s="76">
        <f t="shared" si="1"/>
        <v>1377146.3368778725</v>
      </c>
      <c r="AC20" s="76">
        <f t="shared" si="1"/>
        <v>1377146.3368778725</v>
      </c>
      <c r="AD20" s="76">
        <f t="shared" si="1"/>
        <v>1377146.3368778725</v>
      </c>
      <c r="AE20" s="76">
        <f t="shared" si="1"/>
        <v>1446003.6537217649</v>
      </c>
      <c r="AF20" s="76">
        <f t="shared" si="1"/>
        <v>1446003.6537217649</v>
      </c>
      <c r="AG20" s="76">
        <f t="shared" si="1"/>
        <v>1446003.6537217649</v>
      </c>
      <c r="AH20" s="76">
        <f t="shared" si="1"/>
        <v>1518303.8364078547</v>
      </c>
      <c r="AI20" s="76">
        <f t="shared" si="1"/>
        <v>1518303.8364078547</v>
      </c>
      <c r="AJ20" s="76">
        <f t="shared" si="1"/>
        <v>1518303.8364078547</v>
      </c>
    </row>
    <row r="21" spans="2:37" s="37" customFormat="1" x14ac:dyDescent="0.25">
      <c r="E21" s="37" t="str">
        <f>Opex!E19</f>
        <v>Total Operating Expenses</v>
      </c>
      <c r="J21" s="38">
        <f>-Opex!J19</f>
        <v>-32366.666666666672</v>
      </c>
      <c r="K21" s="38">
        <f>-Opex!K19</f>
        <v>-24366.666666666668</v>
      </c>
      <c r="L21" s="38">
        <f>-Opex!L19</f>
        <v>-24366.666666666668</v>
      </c>
      <c r="M21" s="38">
        <f>-Opex!M19</f>
        <v>-25585</v>
      </c>
      <c r="N21" s="38">
        <f>-Opex!N19</f>
        <v>-25585</v>
      </c>
      <c r="O21" s="38">
        <f>-Opex!O19</f>
        <v>-25585</v>
      </c>
      <c r="P21" s="38">
        <f>-Opex!P19</f>
        <v>-26864.25</v>
      </c>
      <c r="Q21" s="38">
        <f>-Opex!Q19</f>
        <v>-26864.25</v>
      </c>
      <c r="R21" s="38">
        <f>-Opex!R19</f>
        <v>-26864.25</v>
      </c>
      <c r="S21" s="38">
        <f>-Opex!S19</f>
        <v>-28207.462500000001</v>
      </c>
      <c r="T21" s="38">
        <f>-Opex!T19</f>
        <v>-28207.462500000001</v>
      </c>
      <c r="U21" s="38">
        <f>-Opex!U19</f>
        <v>-28207.462500000001</v>
      </c>
      <c r="V21" s="38">
        <f>-Opex!V19</f>
        <v>-29617.835625000003</v>
      </c>
      <c r="W21" s="38">
        <f>-Opex!W19</f>
        <v>-29617.835625000003</v>
      </c>
      <c r="X21" s="38">
        <f>-Opex!X19</f>
        <v>-29617.835625000003</v>
      </c>
      <c r="Y21" s="38">
        <f>-Opex!Y19</f>
        <v>-31098.72740625</v>
      </c>
      <c r="Z21" s="38">
        <f>-Opex!Z19</f>
        <v>-31098.72740625</v>
      </c>
      <c r="AA21" s="38">
        <f>-Opex!AA19</f>
        <v>-31098.72740625</v>
      </c>
      <c r="AB21" s="38">
        <f>-Opex!AB19</f>
        <v>-32653.663776562506</v>
      </c>
      <c r="AC21" s="38">
        <f>-Opex!AC19</f>
        <v>-32653.663776562506</v>
      </c>
      <c r="AD21" s="38">
        <f>-Opex!AD19</f>
        <v>-32653.663776562506</v>
      </c>
      <c r="AE21" s="38">
        <f>-Opex!AE19</f>
        <v>-34286.346965390629</v>
      </c>
      <c r="AF21" s="38">
        <f>-Opex!AF19</f>
        <v>-34286.346965390629</v>
      </c>
      <c r="AG21" s="38">
        <f>-Opex!AG19</f>
        <v>-34286.346965390629</v>
      </c>
      <c r="AH21" s="38">
        <f>-Opex!AH19</f>
        <v>-36000.664313660163</v>
      </c>
      <c r="AI21" s="38">
        <f>-Opex!AI19</f>
        <v>-36000.664313660163</v>
      </c>
      <c r="AJ21" s="38">
        <f>-Opex!AJ19</f>
        <v>-36000.664313660163</v>
      </c>
    </row>
    <row r="22" spans="2:37" s="34" customFormat="1" x14ac:dyDescent="0.25">
      <c r="E22" s="34" t="s">
        <v>182</v>
      </c>
      <c r="J22" s="76">
        <f>J20+J21</f>
        <v>1247916.1333333333</v>
      </c>
      <c r="K22" s="76">
        <f t="shared" ref="K22:AF22" si="2">K20+K21</f>
        <v>1255916.1333333333</v>
      </c>
      <c r="L22" s="76">
        <f t="shared" si="2"/>
        <v>1255916.1333333333</v>
      </c>
      <c r="M22" s="76">
        <f t="shared" si="2"/>
        <v>1053445.1900000002</v>
      </c>
      <c r="N22" s="76">
        <f t="shared" si="2"/>
        <v>1053445.1900000002</v>
      </c>
      <c r="O22" s="76">
        <f t="shared" si="2"/>
        <v>1053445.1900000002</v>
      </c>
      <c r="P22" s="76">
        <f t="shared" si="2"/>
        <v>1106117.4494999999</v>
      </c>
      <c r="Q22" s="76">
        <f t="shared" si="2"/>
        <v>1106117.4494999999</v>
      </c>
      <c r="R22" s="76">
        <f t="shared" si="2"/>
        <v>1106117.4494999999</v>
      </c>
      <c r="S22" s="76">
        <f t="shared" si="2"/>
        <v>1161423.3219750002</v>
      </c>
      <c r="T22" s="76">
        <f t="shared" si="2"/>
        <v>1161423.3219750002</v>
      </c>
      <c r="U22" s="76">
        <f t="shared" si="2"/>
        <v>1161423.3219750002</v>
      </c>
      <c r="V22" s="76">
        <f t="shared" si="2"/>
        <v>1219494.4880737502</v>
      </c>
      <c r="W22" s="76">
        <f t="shared" si="2"/>
        <v>1219494.4880737502</v>
      </c>
      <c r="X22" s="76">
        <f t="shared" si="2"/>
        <v>1219494.4880737502</v>
      </c>
      <c r="Y22" s="76">
        <f t="shared" si="2"/>
        <v>1280469.212477437</v>
      </c>
      <c r="Z22" s="76">
        <f t="shared" si="2"/>
        <v>1280469.212477437</v>
      </c>
      <c r="AA22" s="76">
        <f t="shared" si="2"/>
        <v>1280469.212477437</v>
      </c>
      <c r="AB22" s="76">
        <f t="shared" si="2"/>
        <v>1344492.6731013099</v>
      </c>
      <c r="AC22" s="76">
        <f t="shared" si="2"/>
        <v>1344492.6731013099</v>
      </c>
      <c r="AD22" s="76">
        <f t="shared" si="2"/>
        <v>1344492.6731013099</v>
      </c>
      <c r="AE22" s="76">
        <f t="shared" si="2"/>
        <v>1411717.3067563742</v>
      </c>
      <c r="AF22" s="76">
        <f t="shared" si="2"/>
        <v>1411717.3067563742</v>
      </c>
      <c r="AG22" s="76">
        <f t="shared" ref="AG22" si="3">AG20+AG21</f>
        <v>1411717.3067563742</v>
      </c>
      <c r="AH22" s="76">
        <f t="shared" ref="AH22" si="4">AH20+AH21</f>
        <v>1482303.1720941945</v>
      </c>
      <c r="AI22" s="76">
        <f t="shared" ref="AI22" si="5">AI20+AI21</f>
        <v>1482303.1720941945</v>
      </c>
      <c r="AJ22" s="76">
        <f t="shared" ref="AJ22" si="6">AJ20+AJ21</f>
        <v>1482303.1720941945</v>
      </c>
    </row>
    <row r="23" spans="2:37" x14ac:dyDescent="0.25">
      <c r="F23" s="22"/>
      <c r="G23" s="22"/>
      <c r="H23" s="22"/>
      <c r="I23" s="22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</row>
    <row r="24" spans="2:37" x14ac:dyDescent="0.25">
      <c r="F24" s="22"/>
      <c r="G24" s="22"/>
      <c r="H24" s="22"/>
      <c r="I24" s="22"/>
      <c r="J24" s="31" t="s">
        <v>75</v>
      </c>
      <c r="K24" s="31" t="s">
        <v>119</v>
      </c>
      <c r="L24" s="31" t="s">
        <v>120</v>
      </c>
      <c r="M24" s="31" t="s">
        <v>121</v>
      </c>
      <c r="N24" s="31" t="s">
        <v>122</v>
      </c>
      <c r="O24" s="31" t="s">
        <v>123</v>
      </c>
      <c r="P24" s="31" t="s">
        <v>124</v>
      </c>
      <c r="Q24" s="31" t="s">
        <v>125</v>
      </c>
      <c r="R24" s="31" t="s">
        <v>126</v>
      </c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</row>
    <row r="25" spans="2:37" x14ac:dyDescent="0.25">
      <c r="F25" s="22"/>
      <c r="G25" s="22"/>
      <c r="H25" s="22"/>
      <c r="I25" s="22"/>
      <c r="J25" s="32">
        <v>45536</v>
      </c>
      <c r="K25" s="33">
        <v>45901</v>
      </c>
      <c r="L25" s="32">
        <v>46266</v>
      </c>
      <c r="M25" s="33">
        <v>46631</v>
      </c>
      <c r="N25" s="32">
        <v>46997</v>
      </c>
      <c r="O25" s="33">
        <v>47362</v>
      </c>
      <c r="P25" s="32">
        <v>47727</v>
      </c>
      <c r="Q25" s="33">
        <v>48092</v>
      </c>
      <c r="R25" s="32">
        <v>48458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</row>
    <row r="26" spans="2:37" x14ac:dyDescent="0.25">
      <c r="B26" t="s">
        <v>161</v>
      </c>
      <c r="F26" s="22"/>
      <c r="G26" s="22"/>
      <c r="H26" s="22"/>
      <c r="I26" s="22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</row>
    <row r="27" spans="2:37" x14ac:dyDescent="0.25">
      <c r="E27" s="37" t="str">
        <f t="shared" ref="E27:E41" si="7">E7</f>
        <v>Total Revenue</v>
      </c>
      <c r="F27" s="22"/>
      <c r="G27" s="22"/>
      <c r="H27" s="22"/>
      <c r="I27" s="22"/>
      <c r="J27" s="58">
        <f t="shared" ref="J27:J42" si="8">J7+K7+L7</f>
        <v>6305283</v>
      </c>
      <c r="K27" s="58">
        <f t="shared" ref="K27:K42" si="9">M7+N7+O7</f>
        <v>6620547.1500000004</v>
      </c>
      <c r="L27" s="58">
        <f t="shared" ref="L27:L42" si="10">P7+Q7+R7</f>
        <v>6951574.5075000003</v>
      </c>
      <c r="M27" s="58">
        <f t="shared" ref="M27:M42" si="11">S7+T7+U7</f>
        <v>7299153.2328749998</v>
      </c>
      <c r="N27" s="58">
        <f t="shared" ref="N27:N42" si="12">V7+W7+X7</f>
        <v>7664110.8945187507</v>
      </c>
      <c r="O27" s="58">
        <f t="shared" ref="O27:O42" si="13">Y7+Z7+AA7</f>
        <v>8047316.4392446876</v>
      </c>
      <c r="P27" s="58">
        <f t="shared" ref="P27:P42" si="14">AB7+AC7+AD7</f>
        <v>8449682.2612069249</v>
      </c>
      <c r="Q27" s="58">
        <f t="shared" ref="Q27:Q42" si="15">AE7+AF7+AG7</f>
        <v>8872166.3742672671</v>
      </c>
      <c r="R27" s="58">
        <f t="shared" ref="R27:R42" si="16">AH7+AI7+AJ7</f>
        <v>9315774.6929806359</v>
      </c>
      <c r="S27" s="56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</row>
    <row r="28" spans="2:37" x14ac:dyDescent="0.25">
      <c r="E28" s="37" t="str">
        <f t="shared" si="7"/>
        <v>Total Feeding</v>
      </c>
      <c r="F28" s="22"/>
      <c r="G28" s="22"/>
      <c r="H28" s="22"/>
      <c r="I28" s="22"/>
      <c r="J28" s="58">
        <f t="shared" si="8"/>
        <v>323190</v>
      </c>
      <c r="K28" s="58">
        <f t="shared" si="9"/>
        <v>339349.5</v>
      </c>
      <c r="L28" s="58">
        <f t="shared" si="10"/>
        <v>356316.97500000009</v>
      </c>
      <c r="M28" s="58">
        <f t="shared" si="11"/>
        <v>374132.82374999998</v>
      </c>
      <c r="N28" s="58">
        <f t="shared" si="12"/>
        <v>392839.4649374999</v>
      </c>
      <c r="O28" s="58">
        <f t="shared" si="13"/>
        <v>412481.43818437523</v>
      </c>
      <c r="P28" s="58">
        <f t="shared" si="14"/>
        <v>433105.51009359397</v>
      </c>
      <c r="Q28" s="58">
        <f t="shared" si="15"/>
        <v>454760.78559827374</v>
      </c>
      <c r="R28" s="58">
        <f t="shared" si="16"/>
        <v>477498.82487818738</v>
      </c>
      <c r="S28" s="56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</row>
    <row r="29" spans="2:37" x14ac:dyDescent="0.25">
      <c r="E29" s="37" t="str">
        <f t="shared" si="7"/>
        <v>Total Stationaries</v>
      </c>
      <c r="F29" s="22"/>
      <c r="G29" s="22"/>
      <c r="H29" s="22"/>
      <c r="I29" s="22"/>
      <c r="J29" s="58">
        <f t="shared" si="8"/>
        <v>151923.60000000003</v>
      </c>
      <c r="K29" s="58">
        <f t="shared" si="9"/>
        <v>159519.77999999997</v>
      </c>
      <c r="L29" s="58">
        <f t="shared" si="10"/>
        <v>167495.76899999997</v>
      </c>
      <c r="M29" s="58">
        <f t="shared" si="11"/>
        <v>175870.55744999996</v>
      </c>
      <c r="N29" s="58">
        <f t="shared" si="12"/>
        <v>184664.08532250006</v>
      </c>
      <c r="O29" s="58">
        <f t="shared" si="13"/>
        <v>193897.28958862502</v>
      </c>
      <c r="P29" s="58">
        <f t="shared" si="14"/>
        <v>203592.1540680562</v>
      </c>
      <c r="Q29" s="58">
        <f t="shared" si="15"/>
        <v>213771.76177145907</v>
      </c>
      <c r="R29" s="58">
        <f t="shared" si="16"/>
        <v>224460.34986003209</v>
      </c>
      <c r="S29" s="56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</row>
    <row r="30" spans="2:37" x14ac:dyDescent="0.25">
      <c r="E30" s="37" t="str">
        <f t="shared" si="7"/>
        <v>Total Registration</v>
      </c>
      <c r="F30" s="22"/>
      <c r="G30" s="22"/>
      <c r="H30" s="22"/>
      <c r="I30" s="22"/>
      <c r="J30" s="58">
        <f t="shared" si="8"/>
        <v>4617</v>
      </c>
      <c r="K30" s="58">
        <f t="shared" si="9"/>
        <v>4847.8499999999985</v>
      </c>
      <c r="L30" s="58">
        <f t="shared" si="10"/>
        <v>5090.2425000000003</v>
      </c>
      <c r="M30" s="58">
        <f t="shared" si="11"/>
        <v>5344.7546249999978</v>
      </c>
      <c r="N30" s="58">
        <f t="shared" si="12"/>
        <v>5611.9923562499989</v>
      </c>
      <c r="O30" s="58">
        <f t="shared" si="13"/>
        <v>5892.5919740624977</v>
      </c>
      <c r="P30" s="58">
        <f t="shared" si="14"/>
        <v>6187.2215727656239</v>
      </c>
      <c r="Q30" s="58">
        <f t="shared" si="15"/>
        <v>6496.5826514039081</v>
      </c>
      <c r="R30" s="58">
        <f t="shared" si="16"/>
        <v>6821.4117839741029</v>
      </c>
      <c r="S30" s="56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</row>
    <row r="31" spans="2:37" x14ac:dyDescent="0.25">
      <c r="E31" s="37" t="str">
        <f t="shared" si="7"/>
        <v>Total Exams &amp; Library</v>
      </c>
      <c r="F31" s="22"/>
      <c r="G31" s="22"/>
      <c r="H31" s="22"/>
      <c r="I31" s="22"/>
      <c r="J31" s="58">
        <f t="shared" si="8"/>
        <v>13235.399999999994</v>
      </c>
      <c r="K31" s="58">
        <f t="shared" si="9"/>
        <v>13897.170000000002</v>
      </c>
      <c r="L31" s="58">
        <f t="shared" si="10"/>
        <v>14592.028500000004</v>
      </c>
      <c r="M31" s="58">
        <f t="shared" si="11"/>
        <v>15321.629924999999</v>
      </c>
      <c r="N31" s="58">
        <f t="shared" si="12"/>
        <v>16087.71142125</v>
      </c>
      <c r="O31" s="58">
        <f t="shared" si="13"/>
        <v>16892.096992312494</v>
      </c>
      <c r="P31" s="58">
        <f t="shared" si="14"/>
        <v>17736.70184192813</v>
      </c>
      <c r="Q31" s="58">
        <f t="shared" si="15"/>
        <v>18623.536934024531</v>
      </c>
      <c r="R31" s="58">
        <f t="shared" si="16"/>
        <v>19554.713780725753</v>
      </c>
      <c r="S31" s="56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</row>
    <row r="32" spans="2:37" x14ac:dyDescent="0.25">
      <c r="E32" s="37" t="str">
        <f t="shared" si="7"/>
        <v>Total Correspondence</v>
      </c>
      <c r="F32" s="22"/>
      <c r="G32" s="22"/>
      <c r="H32" s="22"/>
      <c r="I32" s="22"/>
      <c r="J32" s="58">
        <f t="shared" si="8"/>
        <v>15390</v>
      </c>
      <c r="K32" s="58">
        <f t="shared" si="9"/>
        <v>16159.5</v>
      </c>
      <c r="L32" s="58">
        <f t="shared" si="10"/>
        <v>16967.475000000006</v>
      </c>
      <c r="M32" s="58">
        <f t="shared" si="11"/>
        <v>17815.848750000005</v>
      </c>
      <c r="N32" s="58">
        <f t="shared" si="12"/>
        <v>18706.641187499994</v>
      </c>
      <c r="O32" s="58">
        <f t="shared" si="13"/>
        <v>19641.973246874993</v>
      </c>
      <c r="P32" s="58">
        <f t="shared" si="14"/>
        <v>20624.07190921875</v>
      </c>
      <c r="Q32" s="58">
        <f t="shared" si="15"/>
        <v>21655.275504679688</v>
      </c>
      <c r="R32" s="58">
        <f t="shared" si="16"/>
        <v>22738.03927991369</v>
      </c>
      <c r="S32" s="56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</row>
    <row r="33" spans="5:36" x14ac:dyDescent="0.25">
      <c r="E33" s="37" t="str">
        <f t="shared" si="7"/>
        <v>Total Exams</v>
      </c>
      <c r="F33" s="22"/>
      <c r="G33" s="22"/>
      <c r="H33" s="22"/>
      <c r="I33" s="22"/>
      <c r="J33" s="58">
        <f t="shared" si="8"/>
        <v>13235.399999999994</v>
      </c>
      <c r="K33" s="58">
        <f t="shared" si="9"/>
        <v>13897.170000000002</v>
      </c>
      <c r="L33" s="58">
        <f t="shared" si="10"/>
        <v>14592.028500000004</v>
      </c>
      <c r="M33" s="58">
        <f t="shared" si="11"/>
        <v>15321.629924999999</v>
      </c>
      <c r="N33" s="58">
        <f t="shared" si="12"/>
        <v>16087.71142125</v>
      </c>
      <c r="O33" s="58">
        <f t="shared" si="13"/>
        <v>16892.096992312494</v>
      </c>
      <c r="P33" s="58">
        <f t="shared" si="14"/>
        <v>17736.70184192813</v>
      </c>
      <c r="Q33" s="58">
        <f t="shared" si="15"/>
        <v>18623.536934024531</v>
      </c>
      <c r="R33" s="58">
        <f t="shared" si="16"/>
        <v>19554.713780725753</v>
      </c>
      <c r="S33" s="56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</row>
    <row r="34" spans="5:36" x14ac:dyDescent="0.25">
      <c r="E34" s="37" t="str">
        <f t="shared" si="7"/>
        <v>Total Science &amp; Lab</v>
      </c>
      <c r="F34" s="22"/>
      <c r="G34" s="22"/>
      <c r="H34" s="22"/>
      <c r="I34" s="22"/>
      <c r="J34" s="58">
        <f t="shared" si="8"/>
        <v>32011.200000000012</v>
      </c>
      <c r="K34" s="58">
        <f t="shared" si="9"/>
        <v>33611.760000000009</v>
      </c>
      <c r="L34" s="58">
        <f t="shared" si="10"/>
        <v>35292.348000000013</v>
      </c>
      <c r="M34" s="58">
        <f t="shared" si="11"/>
        <v>37056.965400000001</v>
      </c>
      <c r="N34" s="58">
        <f t="shared" si="12"/>
        <v>38909.81367000001</v>
      </c>
      <c r="O34" s="58">
        <f t="shared" si="13"/>
        <v>40855.304353500011</v>
      </c>
      <c r="P34" s="58">
        <f t="shared" si="14"/>
        <v>42898.069571175023</v>
      </c>
      <c r="Q34" s="58">
        <f t="shared" si="15"/>
        <v>45042.973049733759</v>
      </c>
      <c r="R34" s="58">
        <f t="shared" si="16"/>
        <v>47295.121702220466</v>
      </c>
      <c r="S34" s="56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</row>
    <row r="35" spans="5:36" x14ac:dyDescent="0.25">
      <c r="E35" s="37" t="str">
        <f t="shared" si="7"/>
        <v>Total First Aid &amp; Toiletries</v>
      </c>
      <c r="F35" s="22"/>
      <c r="G35" s="22"/>
      <c r="H35" s="22"/>
      <c r="I35" s="22"/>
      <c r="J35" s="58">
        <f t="shared" si="8"/>
        <v>38475</v>
      </c>
      <c r="K35" s="58">
        <f t="shared" si="9"/>
        <v>40398.75</v>
      </c>
      <c r="L35" s="58">
        <f t="shared" si="10"/>
        <v>42418.6875</v>
      </c>
      <c r="M35" s="58">
        <f t="shared" si="11"/>
        <v>44539.621875000012</v>
      </c>
      <c r="N35" s="58">
        <f t="shared" si="12"/>
        <v>46766.602968749998</v>
      </c>
      <c r="O35" s="58">
        <f t="shared" si="13"/>
        <v>49104.933117187487</v>
      </c>
      <c r="P35" s="58">
        <f t="shared" si="14"/>
        <v>51560.179773046904</v>
      </c>
      <c r="Q35" s="58">
        <f t="shared" si="15"/>
        <v>54138.188761699246</v>
      </c>
      <c r="R35" s="58">
        <f t="shared" si="16"/>
        <v>56845.098199784217</v>
      </c>
      <c r="S35" s="56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</row>
    <row r="36" spans="5:36" x14ac:dyDescent="0.25">
      <c r="E36" s="37" t="str">
        <f t="shared" si="7"/>
        <v>Total Uniform</v>
      </c>
      <c r="F36" s="22"/>
      <c r="G36" s="22"/>
      <c r="H36" s="22"/>
      <c r="I36" s="22"/>
      <c r="J36" s="58">
        <f t="shared" si="8"/>
        <v>372114</v>
      </c>
      <c r="K36" s="58">
        <f t="shared" si="9"/>
        <v>390719.70000000013</v>
      </c>
      <c r="L36" s="58">
        <f t="shared" si="10"/>
        <v>410255.68499999994</v>
      </c>
      <c r="M36" s="58">
        <f t="shared" si="11"/>
        <v>430768.46924999997</v>
      </c>
      <c r="N36" s="58">
        <f t="shared" si="12"/>
        <v>452306.89271250012</v>
      </c>
      <c r="O36" s="58">
        <f t="shared" si="13"/>
        <v>474922.2373481252</v>
      </c>
      <c r="P36" s="58">
        <f t="shared" si="14"/>
        <v>498668.34921553149</v>
      </c>
      <c r="Q36" s="58">
        <f t="shared" si="15"/>
        <v>523601.76667630789</v>
      </c>
      <c r="R36" s="58">
        <f t="shared" si="16"/>
        <v>549781.85501012322</v>
      </c>
      <c r="S36" s="56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</row>
    <row r="37" spans="5:36" x14ac:dyDescent="0.25">
      <c r="E37" s="37" t="str">
        <f t="shared" si="7"/>
        <v>Total Extra Curricular</v>
      </c>
      <c r="F37" s="22"/>
      <c r="G37" s="22"/>
      <c r="H37" s="22"/>
      <c r="I37" s="22"/>
      <c r="J37" s="58">
        <f t="shared" si="8"/>
        <v>49248</v>
      </c>
      <c r="K37" s="58">
        <f t="shared" si="9"/>
        <v>51710.400000000023</v>
      </c>
      <c r="L37" s="58">
        <f t="shared" si="10"/>
        <v>54295.92</v>
      </c>
      <c r="M37" s="58">
        <f t="shared" si="11"/>
        <v>57010.716000000022</v>
      </c>
      <c r="N37" s="58">
        <f t="shared" si="12"/>
        <v>59861.251800000027</v>
      </c>
      <c r="O37" s="58">
        <f t="shared" si="13"/>
        <v>62854.314390000014</v>
      </c>
      <c r="P37" s="58">
        <f t="shared" si="14"/>
        <v>65997.030109500018</v>
      </c>
      <c r="Q37" s="58">
        <f t="shared" si="15"/>
        <v>69296.881614974991</v>
      </c>
      <c r="R37" s="58">
        <f t="shared" si="16"/>
        <v>72761.725695723755</v>
      </c>
      <c r="S37" s="56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</row>
    <row r="38" spans="5:36" x14ac:dyDescent="0.25">
      <c r="E38" s="37" t="str">
        <f t="shared" si="7"/>
        <v>Total Salaries</v>
      </c>
      <c r="F38" s="37"/>
      <c r="G38" s="37"/>
      <c r="H38" s="37"/>
      <c r="I38" s="37"/>
      <c r="J38" s="58">
        <f t="shared" si="8"/>
        <v>1450995</v>
      </c>
      <c r="K38" s="58">
        <f t="shared" si="9"/>
        <v>2319345</v>
      </c>
      <c r="L38" s="58">
        <f t="shared" si="10"/>
        <v>2435312.25</v>
      </c>
      <c r="M38" s="58">
        <f t="shared" si="11"/>
        <v>2557077.8624999998</v>
      </c>
      <c r="N38" s="58">
        <f t="shared" si="12"/>
        <v>2684931.7556250002</v>
      </c>
      <c r="O38" s="58">
        <f t="shared" si="13"/>
        <v>2819178.3434062507</v>
      </c>
      <c r="P38" s="58">
        <f t="shared" si="14"/>
        <v>2960137.260576563</v>
      </c>
      <c r="Q38" s="58">
        <f t="shared" si="15"/>
        <v>3108144.123605391</v>
      </c>
      <c r="R38" s="58">
        <f t="shared" si="16"/>
        <v>3263551.3297856608</v>
      </c>
      <c r="S38" s="56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</row>
    <row r="39" spans="5:36" x14ac:dyDescent="0.25">
      <c r="E39" s="37" t="str">
        <f t="shared" si="7"/>
        <v>Total Direct Costs</v>
      </c>
      <c r="F39" s="22"/>
      <c r="G39" s="22"/>
      <c r="H39" s="22"/>
      <c r="I39" s="22"/>
      <c r="J39" s="58">
        <f t="shared" si="8"/>
        <v>-2464434.5999999996</v>
      </c>
      <c r="K39" s="58">
        <f t="shared" si="9"/>
        <v>-3383456.58</v>
      </c>
      <c r="L39" s="58">
        <f t="shared" si="10"/>
        <v>-3552629.409</v>
      </c>
      <c r="M39" s="58">
        <f t="shared" si="11"/>
        <v>-3730260.8794499994</v>
      </c>
      <c r="N39" s="58">
        <f t="shared" si="12"/>
        <v>-3916773.9234225</v>
      </c>
      <c r="O39" s="58">
        <f t="shared" si="13"/>
        <v>-4112612.6195936264</v>
      </c>
      <c r="P39" s="58">
        <f t="shared" si="14"/>
        <v>-4318243.2505733073</v>
      </c>
      <c r="Q39" s="58">
        <f t="shared" si="15"/>
        <v>-4534155.413101973</v>
      </c>
      <c r="R39" s="58">
        <f t="shared" si="16"/>
        <v>-4760863.1837570714</v>
      </c>
      <c r="S39" s="56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</row>
    <row r="40" spans="5:36" x14ac:dyDescent="0.25">
      <c r="E40" s="37" t="str">
        <f t="shared" si="7"/>
        <v>Gross Profit</v>
      </c>
      <c r="F40" s="22"/>
      <c r="G40" s="22"/>
      <c r="H40" s="22"/>
      <c r="I40" s="22"/>
      <c r="J40" s="76">
        <f t="shared" si="8"/>
        <v>3840848.4000000004</v>
      </c>
      <c r="K40" s="76">
        <f t="shared" si="9"/>
        <v>3237090.5700000003</v>
      </c>
      <c r="L40" s="76">
        <f t="shared" si="10"/>
        <v>3398945.0984999994</v>
      </c>
      <c r="M40" s="76">
        <f t="shared" si="11"/>
        <v>3568892.3534250003</v>
      </c>
      <c r="N40" s="76">
        <f t="shared" si="12"/>
        <v>3747336.9710962507</v>
      </c>
      <c r="O40" s="76">
        <f t="shared" si="13"/>
        <v>3934703.8196510612</v>
      </c>
      <c r="P40" s="76">
        <f t="shared" si="14"/>
        <v>4131439.0106336176</v>
      </c>
      <c r="Q40" s="76">
        <f t="shared" si="15"/>
        <v>4338010.961165295</v>
      </c>
      <c r="R40" s="76">
        <f t="shared" si="16"/>
        <v>4554911.5092235636</v>
      </c>
      <c r="S40" s="56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</row>
    <row r="41" spans="5:36" x14ac:dyDescent="0.25">
      <c r="E41" s="37" t="str">
        <f t="shared" si="7"/>
        <v>Total Operating Expenses</v>
      </c>
      <c r="F41" s="22"/>
      <c r="G41" s="22"/>
      <c r="H41" s="22"/>
      <c r="I41" s="22"/>
      <c r="J41" s="58">
        <f t="shared" si="8"/>
        <v>-81100.000000000015</v>
      </c>
      <c r="K41" s="58">
        <f t="shared" si="9"/>
        <v>-76755</v>
      </c>
      <c r="L41" s="58">
        <f t="shared" si="10"/>
        <v>-80592.75</v>
      </c>
      <c r="M41" s="58">
        <f t="shared" si="11"/>
        <v>-84622.387500000012</v>
      </c>
      <c r="N41" s="58">
        <f t="shared" si="12"/>
        <v>-88853.506875000006</v>
      </c>
      <c r="O41" s="58">
        <f t="shared" si="13"/>
        <v>-93296.182218750007</v>
      </c>
      <c r="P41" s="58">
        <f t="shared" si="14"/>
        <v>-97960.991329687517</v>
      </c>
      <c r="Q41" s="58">
        <f t="shared" si="15"/>
        <v>-102859.04089617188</v>
      </c>
      <c r="R41" s="58">
        <f t="shared" si="16"/>
        <v>-108001.99294098049</v>
      </c>
      <c r="S41" s="56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</row>
    <row r="42" spans="5:36" s="34" customFormat="1" x14ac:dyDescent="0.25">
      <c r="E42" s="34" t="s">
        <v>136</v>
      </c>
      <c r="J42" s="76">
        <f t="shared" si="8"/>
        <v>3759748.4</v>
      </c>
      <c r="K42" s="76">
        <f t="shared" si="9"/>
        <v>3160335.5700000003</v>
      </c>
      <c r="L42" s="76">
        <f t="shared" si="10"/>
        <v>3318352.3484999994</v>
      </c>
      <c r="M42" s="76">
        <f t="shared" si="11"/>
        <v>3484269.9659250006</v>
      </c>
      <c r="N42" s="76">
        <f t="shared" si="12"/>
        <v>3658483.4642212503</v>
      </c>
      <c r="O42" s="76">
        <f t="shared" si="13"/>
        <v>3841407.6374323107</v>
      </c>
      <c r="P42" s="76">
        <f t="shared" si="14"/>
        <v>4033478.01930393</v>
      </c>
      <c r="Q42" s="76">
        <f t="shared" si="15"/>
        <v>4235151.9202691223</v>
      </c>
      <c r="R42" s="76">
        <f t="shared" si="16"/>
        <v>4446909.5162825836</v>
      </c>
      <c r="S42" s="56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</row>
    <row r="43" spans="5:36" x14ac:dyDescent="0.25">
      <c r="E43" s="37" t="str">
        <f>Capex!E8</f>
        <v>Total Depreciation</v>
      </c>
      <c r="F43" s="22"/>
      <c r="G43" s="22"/>
      <c r="H43" s="22"/>
      <c r="I43" s="22"/>
      <c r="J43" s="57">
        <f ca="1">Capex!J8</f>
        <v>-2524402.4</v>
      </c>
      <c r="K43" s="57">
        <f ca="1">Capex!K8</f>
        <v>-2524402.4</v>
      </c>
      <c r="L43" s="57">
        <f ca="1">Capex!L8</f>
        <v>-2524402.4</v>
      </c>
      <c r="M43" s="57">
        <f ca="1">Capex!M8</f>
        <v>-2524402.4</v>
      </c>
      <c r="N43" s="57">
        <f ca="1">Capex!N8</f>
        <v>-2524402.4</v>
      </c>
      <c r="O43" s="57">
        <f ca="1">Capex!O8</f>
        <v>-2524402.4</v>
      </c>
      <c r="P43" s="57">
        <f ca="1">Capex!P8</f>
        <v>-2524402.4</v>
      </c>
      <c r="Q43" s="57">
        <f ca="1">Capex!Q8</f>
        <v>-2524402.4</v>
      </c>
      <c r="R43" s="57">
        <f ca="1">Capex!R8</f>
        <v>-2524402.4</v>
      </c>
      <c r="S43" s="56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</row>
    <row r="44" spans="5:36" s="20" customFormat="1" x14ac:dyDescent="0.25">
      <c r="E44" s="34" t="s">
        <v>137</v>
      </c>
      <c r="F44" s="30"/>
      <c r="G44" s="30"/>
      <c r="H44" s="30"/>
      <c r="I44" s="30"/>
      <c r="J44" s="77">
        <f ca="1">J42+J43</f>
        <v>1235346</v>
      </c>
      <c r="K44" s="77">
        <f ca="1">K42+K43</f>
        <v>635933.17000000039</v>
      </c>
      <c r="L44" s="77">
        <f t="shared" ref="L44:R44" ca="1" si="17">L42+L43</f>
        <v>793949.94849999947</v>
      </c>
      <c r="M44" s="77">
        <f t="shared" ca="1" si="17"/>
        <v>959867.5659250007</v>
      </c>
      <c r="N44" s="77">
        <f t="shared" ca="1" si="17"/>
        <v>1134081.0642212504</v>
      </c>
      <c r="O44" s="77">
        <f t="shared" ca="1" si="17"/>
        <v>1317005.2374323108</v>
      </c>
      <c r="P44" s="77">
        <f t="shared" ca="1" si="17"/>
        <v>1509075.6193039301</v>
      </c>
      <c r="Q44" s="77">
        <f t="shared" ca="1" si="17"/>
        <v>1710749.5202691224</v>
      </c>
      <c r="R44" s="77">
        <f t="shared" ca="1" si="17"/>
        <v>1922507.1162825837</v>
      </c>
      <c r="S44" s="5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</row>
    <row r="45" spans="5:36" s="37" customFormat="1" x14ac:dyDescent="0.25">
      <c r="E45" s="37" t="s">
        <v>172</v>
      </c>
      <c r="F45" s="41">
        <f>Input!B26</f>
        <v>0.05</v>
      </c>
      <c r="J45" s="56">
        <f>-Workings!J16</f>
        <v>-630000.00000000012</v>
      </c>
      <c r="K45" s="56">
        <f>-Workings!K16</f>
        <v>-540000.00000000012</v>
      </c>
      <c r="L45" s="56">
        <f>-Workings!L16</f>
        <v>-450000.00000000006</v>
      </c>
      <c r="M45" s="56">
        <f>-Workings!M16</f>
        <v>-360000.00000000012</v>
      </c>
      <c r="N45" s="56">
        <f>-Workings!N16</f>
        <v>-270000.00000000006</v>
      </c>
      <c r="O45" s="56">
        <f>-Workings!O16</f>
        <v>-180000.00000000006</v>
      </c>
      <c r="P45" s="56">
        <f>-Workings!P16</f>
        <v>-90000.000000000029</v>
      </c>
      <c r="Q45" s="56">
        <f>-Workings!Q16</f>
        <v>0</v>
      </c>
      <c r="R45" s="56">
        <f>-Workings!R16</f>
        <v>0</v>
      </c>
      <c r="S45" s="56"/>
    </row>
    <row r="46" spans="5:36" s="34" customFormat="1" x14ac:dyDescent="0.25">
      <c r="E46" s="34" t="s">
        <v>173</v>
      </c>
      <c r="J46" s="77">
        <f ca="1">J44+J45</f>
        <v>605345.99999999988</v>
      </c>
      <c r="K46" s="77">
        <f ca="1">K44+K45</f>
        <v>95933.170000000275</v>
      </c>
      <c r="L46" s="77">
        <f t="shared" ref="L46:R46" ca="1" si="18">L44+L45</f>
        <v>343949.94849999942</v>
      </c>
      <c r="M46" s="77">
        <f t="shared" ca="1" si="18"/>
        <v>599867.56592500058</v>
      </c>
      <c r="N46" s="77">
        <f t="shared" ca="1" si="18"/>
        <v>864081.06422125036</v>
      </c>
      <c r="O46" s="77">
        <f t="shared" ca="1" si="18"/>
        <v>1137005.2374323108</v>
      </c>
      <c r="P46" s="77">
        <f t="shared" ca="1" si="18"/>
        <v>1419075.6193039301</v>
      </c>
      <c r="Q46" s="77">
        <f t="shared" ca="1" si="18"/>
        <v>1710749.5202691224</v>
      </c>
      <c r="R46" s="77">
        <f t="shared" ca="1" si="18"/>
        <v>1922507.1162825837</v>
      </c>
      <c r="S46" s="56"/>
    </row>
    <row r="47" spans="5:36" s="37" customFormat="1" x14ac:dyDescent="0.25">
      <c r="E47" s="37" t="s">
        <v>174</v>
      </c>
      <c r="F47" s="41">
        <f>Input!B23</f>
        <v>0.25</v>
      </c>
      <c r="J47" s="58">
        <f ca="1">-$F$47*J46</f>
        <v>-151336.49999999997</v>
      </c>
      <c r="K47" s="58">
        <f ca="1">-$F$47*K46</f>
        <v>-23983.292500000069</v>
      </c>
      <c r="L47" s="58">
        <f t="shared" ref="L47:R47" ca="1" si="19">-$F$47*L46</f>
        <v>-85987.487124999854</v>
      </c>
      <c r="M47" s="58">
        <f t="shared" ca="1" si="19"/>
        <v>-149966.89148125015</v>
      </c>
      <c r="N47" s="58">
        <f t="shared" ca="1" si="19"/>
        <v>-216020.26605531259</v>
      </c>
      <c r="O47" s="58">
        <f t="shared" ca="1" si="19"/>
        <v>-284251.30935807771</v>
      </c>
      <c r="P47" s="58">
        <f t="shared" ca="1" si="19"/>
        <v>-354768.90482598252</v>
      </c>
      <c r="Q47" s="58">
        <f t="shared" ca="1" si="19"/>
        <v>-427687.38006728061</v>
      </c>
      <c r="R47" s="58">
        <f t="shared" ca="1" si="19"/>
        <v>-480626.77907064592</v>
      </c>
      <c r="S47" s="56"/>
    </row>
    <row r="48" spans="5:36" s="34" customFormat="1" x14ac:dyDescent="0.25">
      <c r="E48" s="34" t="s">
        <v>175</v>
      </c>
      <c r="J48" s="77">
        <f ca="1">J47+J46</f>
        <v>454009.49999999988</v>
      </c>
      <c r="K48" s="77">
        <f ca="1">K47+K46</f>
        <v>71949.877500000206</v>
      </c>
      <c r="L48" s="77">
        <f t="shared" ref="L48:R48" ca="1" si="20">L47+L46</f>
        <v>257962.46137499955</v>
      </c>
      <c r="M48" s="77">
        <f t="shared" ca="1" si="20"/>
        <v>449900.67444375041</v>
      </c>
      <c r="N48" s="77">
        <f t="shared" ca="1" si="20"/>
        <v>648060.79816593777</v>
      </c>
      <c r="O48" s="77">
        <f t="shared" ca="1" si="20"/>
        <v>852753.92807423312</v>
      </c>
      <c r="P48" s="77">
        <f t="shared" ca="1" si="20"/>
        <v>1064306.7144779474</v>
      </c>
      <c r="Q48" s="77">
        <f t="shared" ca="1" si="20"/>
        <v>1283062.1402018419</v>
      </c>
      <c r="R48" s="77">
        <f t="shared" ca="1" si="20"/>
        <v>1441880.3372119376</v>
      </c>
      <c r="S48" s="56"/>
    </row>
    <row r="49" spans="2:36" x14ac:dyDescent="0.25">
      <c r="F49" s="22"/>
      <c r="G49" s="22"/>
      <c r="H49" s="22"/>
      <c r="I49" s="22"/>
      <c r="J49" s="35"/>
      <c r="K49" s="35"/>
      <c r="L49" s="35"/>
      <c r="M49" s="35"/>
      <c r="N49" s="35"/>
      <c r="O49" s="35"/>
      <c r="P49" s="35"/>
      <c r="Q49" s="35"/>
      <c r="R49" s="35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</row>
    <row r="50" spans="2:36" s="34" customFormat="1" x14ac:dyDescent="0.25">
      <c r="E50" s="34" t="s">
        <v>177</v>
      </c>
      <c r="J50" s="78">
        <f>J40/J27</f>
        <v>0.60914766236503581</v>
      </c>
      <c r="K50" s="78">
        <f>K40/K27</f>
        <v>0.48894607902611192</v>
      </c>
      <c r="L50" s="78">
        <f t="shared" ref="L50:R50" si="21">L40/L27</f>
        <v>0.48894607902611181</v>
      </c>
      <c r="M50" s="78">
        <f t="shared" si="21"/>
        <v>0.48894607902611198</v>
      </c>
      <c r="N50" s="78">
        <f t="shared" si="21"/>
        <v>0.48894607902611198</v>
      </c>
      <c r="O50" s="78">
        <f t="shared" si="21"/>
        <v>0.48894607902611176</v>
      </c>
      <c r="P50" s="78">
        <f t="shared" si="21"/>
        <v>0.48894607902611198</v>
      </c>
      <c r="Q50" s="78">
        <f t="shared" si="21"/>
        <v>0.48894607902611181</v>
      </c>
      <c r="R50" s="78">
        <f t="shared" si="21"/>
        <v>0.48894607902611192</v>
      </c>
      <c r="S50" s="56"/>
    </row>
    <row r="51" spans="2:36" s="34" customFormat="1" x14ac:dyDescent="0.25">
      <c r="E51" s="34" t="s">
        <v>176</v>
      </c>
      <c r="J51" s="78">
        <f ca="1">J48/J27</f>
        <v>7.2004618983794996E-2</v>
      </c>
      <c r="K51" s="78">
        <f ca="1">K48/K27</f>
        <v>1.0867663332025391E-2</v>
      </c>
      <c r="L51" s="78">
        <f t="shared" ref="L51:R51" ca="1" si="22">L48/L27</f>
        <v>3.7108494068025286E-2</v>
      </c>
      <c r="M51" s="78">
        <f t="shared" ca="1" si="22"/>
        <v>6.1637379034244905E-2</v>
      </c>
      <c r="N51" s="78">
        <f t="shared" ca="1" si="22"/>
        <v>8.4557857667406727E-2</v>
      </c>
      <c r="O51" s="78">
        <f t="shared" ca="1" si="22"/>
        <v>0.10596749046869489</v>
      </c>
      <c r="P51" s="78">
        <f t="shared" ca="1" si="22"/>
        <v>0.12595819364288444</v>
      </c>
      <c r="Q51" s="78">
        <f t="shared" ca="1" si="22"/>
        <v>0.14461655542475185</v>
      </c>
      <c r="R51" s="78">
        <f t="shared" ca="1" si="22"/>
        <v>0.15477836086980326</v>
      </c>
      <c r="S51" s="56"/>
    </row>
    <row r="52" spans="2:36" s="37" customFormat="1" x14ac:dyDescent="0.25">
      <c r="J52" s="38"/>
      <c r="K52" s="38"/>
      <c r="L52" s="38"/>
      <c r="M52" s="38"/>
      <c r="N52" s="38"/>
      <c r="O52" s="38"/>
      <c r="P52" s="38"/>
      <c r="Q52" s="38"/>
      <c r="R52" s="38"/>
    </row>
    <row r="53" spans="2:36" s="37" customFormat="1" x14ac:dyDescent="0.25">
      <c r="J53" s="38"/>
      <c r="K53" s="38"/>
      <c r="L53" s="38"/>
      <c r="M53" s="38"/>
      <c r="N53" s="38"/>
      <c r="O53" s="38"/>
      <c r="P53" s="38"/>
      <c r="Q53" s="38"/>
      <c r="R53" s="38"/>
    </row>
    <row r="54" spans="2:36" x14ac:dyDescent="0.25">
      <c r="B54" t="s">
        <v>162</v>
      </c>
      <c r="F54" s="22"/>
      <c r="G54" s="22"/>
      <c r="H54" s="22"/>
      <c r="I54" s="22"/>
      <c r="J54" s="35"/>
      <c r="K54" s="35"/>
      <c r="L54" s="35"/>
      <c r="M54" s="35"/>
      <c r="N54" s="35"/>
      <c r="O54" s="35"/>
      <c r="P54" s="35"/>
      <c r="Q54" s="35"/>
      <c r="R54" s="35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</row>
    <row r="55" spans="2:36" x14ac:dyDescent="0.25">
      <c r="C55" t="s">
        <v>60</v>
      </c>
      <c r="F55" s="22"/>
      <c r="G55" s="22"/>
      <c r="H55" s="22"/>
      <c r="I55" s="22"/>
      <c r="J55" s="35"/>
      <c r="K55" s="35"/>
      <c r="L55" s="35"/>
      <c r="M55" s="35"/>
      <c r="N55" s="35"/>
      <c r="O55" s="35"/>
      <c r="P55" s="35"/>
      <c r="Q55" s="35"/>
      <c r="R55" s="35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</row>
    <row r="56" spans="2:36" x14ac:dyDescent="0.25">
      <c r="E56" s="37" t="s">
        <v>215</v>
      </c>
      <c r="F56" s="22"/>
      <c r="G56" s="22"/>
      <c r="H56" s="22"/>
      <c r="I56" s="22"/>
      <c r="J56" s="35">
        <f ca="1">J93</f>
        <v>6183536.8642857112</v>
      </c>
      <c r="K56" s="35">
        <f ca="1">K93</f>
        <v>7492735.8585214261</v>
      </c>
      <c r="L56" s="35">
        <f t="shared" ref="L56:R56" ca="1" si="23">L93</f>
        <v>8984227.1849546395</v>
      </c>
      <c r="M56" s="35">
        <f t="shared" ca="1" si="23"/>
        <v>10704068.482195228</v>
      </c>
      <c r="N56" s="35">
        <f t="shared" ca="1" si="23"/>
        <v>12577856.178683562</v>
      </c>
      <c r="O56" s="35">
        <f t="shared" ca="1" si="23"/>
        <v>14652243.142482026</v>
      </c>
      <c r="P56" s="35">
        <f t="shared" ca="1" si="23"/>
        <v>16923161.535056129</v>
      </c>
      <c r="Q56" s="35">
        <f t="shared" ca="1" si="23"/>
        <v>20704964.832453933</v>
      </c>
      <c r="R56" s="35">
        <f t="shared" ca="1" si="23"/>
        <v>24642409.962921631</v>
      </c>
      <c r="S56" s="56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</row>
    <row r="57" spans="2:36" x14ac:dyDescent="0.25">
      <c r="E57" s="37" t="s">
        <v>150</v>
      </c>
      <c r="F57" s="24">
        <f>Input!B20</f>
        <v>0.1</v>
      </c>
      <c r="G57" s="22"/>
      <c r="H57" s="22"/>
      <c r="I57" s="22"/>
      <c r="J57" s="38">
        <f>-$F$57*J19</f>
        <v>82147.820000000007</v>
      </c>
      <c r="K57" s="38">
        <f>-$F$57*K19</f>
        <v>82147.820000000007</v>
      </c>
      <c r="L57" s="38">
        <f t="shared" ref="L57:R57" si="24">-$F$57*L19</f>
        <v>82147.820000000007</v>
      </c>
      <c r="M57" s="38">
        <f t="shared" si="24"/>
        <v>112781.88600000001</v>
      </c>
      <c r="N57" s="38">
        <f t="shared" si="24"/>
        <v>112781.88600000001</v>
      </c>
      <c r="O57" s="38">
        <f t="shared" si="24"/>
        <v>112781.88600000001</v>
      </c>
      <c r="P57" s="38">
        <f t="shared" si="24"/>
        <v>118420.98030000001</v>
      </c>
      <c r="Q57" s="38">
        <f t="shared" si="24"/>
        <v>118420.98030000001</v>
      </c>
      <c r="R57" s="38">
        <f t="shared" si="24"/>
        <v>118420.98030000001</v>
      </c>
      <c r="S57" s="56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</row>
    <row r="58" spans="2:36" x14ac:dyDescent="0.25">
      <c r="E58" s="37" t="s">
        <v>139</v>
      </c>
      <c r="F58" s="24">
        <f>Input!B18</f>
        <v>0.2</v>
      </c>
      <c r="G58" s="22"/>
      <c r="H58" s="22"/>
      <c r="I58" s="22"/>
      <c r="J58" s="38">
        <f>$F$58*J7</f>
        <v>420352.2</v>
      </c>
      <c r="K58" s="38">
        <f>$F$58*K7</f>
        <v>420352.2</v>
      </c>
      <c r="L58" s="38">
        <f t="shared" ref="L58:R58" si="25">$F$58*L7</f>
        <v>420352.2</v>
      </c>
      <c r="M58" s="38">
        <f t="shared" si="25"/>
        <v>441369.81000000006</v>
      </c>
      <c r="N58" s="38">
        <f t="shared" si="25"/>
        <v>441369.81000000006</v>
      </c>
      <c r="O58" s="38">
        <f t="shared" si="25"/>
        <v>441369.81000000006</v>
      </c>
      <c r="P58" s="38">
        <f t="shared" si="25"/>
        <v>463438.30050000001</v>
      </c>
      <c r="Q58" s="38">
        <f t="shared" si="25"/>
        <v>463438.30050000001</v>
      </c>
      <c r="R58" s="38">
        <f t="shared" si="25"/>
        <v>463438.30050000001</v>
      </c>
      <c r="S58" s="56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</row>
    <row r="59" spans="2:36" s="37" customFormat="1" x14ac:dyDescent="0.25">
      <c r="D59" s="37" t="s">
        <v>152</v>
      </c>
      <c r="J59" s="38">
        <f ca="1">SUM(J56:J58)</f>
        <v>6686036.8842857117</v>
      </c>
      <c r="K59" s="38">
        <f ca="1">SUM(K56:K58)</f>
        <v>7995235.8785214266</v>
      </c>
      <c r="L59" s="38">
        <f t="shared" ref="L59:R59" ca="1" si="26">SUM(L56:L58)</f>
        <v>9486727.2049546391</v>
      </c>
      <c r="M59" s="38">
        <f t="shared" ca="1" si="26"/>
        <v>11258220.178195229</v>
      </c>
      <c r="N59" s="38">
        <f t="shared" ca="1" si="26"/>
        <v>13132007.874683563</v>
      </c>
      <c r="O59" s="38">
        <f t="shared" ca="1" si="26"/>
        <v>15206394.838482026</v>
      </c>
      <c r="P59" s="38">
        <f t="shared" ca="1" si="26"/>
        <v>17505020.815856133</v>
      </c>
      <c r="Q59" s="38">
        <f t="shared" ca="1" si="26"/>
        <v>21286824.113253936</v>
      </c>
      <c r="R59" s="38">
        <f t="shared" ca="1" si="26"/>
        <v>25224269.243721634</v>
      </c>
      <c r="S59" s="56"/>
    </row>
    <row r="60" spans="2:36" s="22" customFormat="1" x14ac:dyDescent="0.25">
      <c r="E60" s="37" t="str">
        <f>Capex!E9</f>
        <v>PPE Closing Balance</v>
      </c>
      <c r="J60" s="35">
        <f ca="1">Capex!J9</f>
        <v>22719621.600000001</v>
      </c>
      <c r="K60" s="35">
        <f ca="1">Capex!K9</f>
        <v>20195219.200000003</v>
      </c>
      <c r="L60" s="35">
        <f ca="1">Capex!L9</f>
        <v>17670816.800000004</v>
      </c>
      <c r="M60" s="35">
        <f ca="1">Capex!M9</f>
        <v>15146414.400000004</v>
      </c>
      <c r="N60" s="35">
        <f ca="1">Capex!N9</f>
        <v>12622012.000000004</v>
      </c>
      <c r="O60" s="35">
        <f ca="1">Capex!O9</f>
        <v>10097609.600000003</v>
      </c>
      <c r="P60" s="35">
        <f ca="1">Capex!P9</f>
        <v>7573207.200000003</v>
      </c>
      <c r="Q60" s="35">
        <f ca="1">Capex!Q9</f>
        <v>5048804.8000000026</v>
      </c>
      <c r="R60" s="35">
        <f ca="1">Capex!R9</f>
        <v>2524402.4000000027</v>
      </c>
      <c r="S60" s="56"/>
    </row>
    <row r="61" spans="2:36" s="34" customFormat="1" x14ac:dyDescent="0.25">
      <c r="C61" s="34" t="s">
        <v>141</v>
      </c>
      <c r="J61" s="76">
        <f ca="1">J59+J60</f>
        <v>29405658.484285712</v>
      </c>
      <c r="K61" s="76">
        <f ca="1">K59+K60</f>
        <v>28190455.07852143</v>
      </c>
      <c r="L61" s="76">
        <f t="shared" ref="L61:R61" ca="1" si="27">L59+L60</f>
        <v>27157544.004954644</v>
      </c>
      <c r="M61" s="76">
        <f t="shared" ca="1" si="27"/>
        <v>26404634.578195233</v>
      </c>
      <c r="N61" s="76">
        <f t="shared" ca="1" si="27"/>
        <v>25754019.874683566</v>
      </c>
      <c r="O61" s="76">
        <f t="shared" ca="1" si="27"/>
        <v>25304004.438482031</v>
      </c>
      <c r="P61" s="76">
        <f t="shared" ca="1" si="27"/>
        <v>25078228.015856136</v>
      </c>
      <c r="Q61" s="76">
        <f t="shared" ca="1" si="27"/>
        <v>26335628.913253941</v>
      </c>
      <c r="R61" s="76">
        <f t="shared" ca="1" si="27"/>
        <v>27748671.643721636</v>
      </c>
      <c r="S61" s="56"/>
    </row>
    <row r="62" spans="2:36" x14ac:dyDescent="0.25">
      <c r="F62" s="22"/>
      <c r="G62" s="22"/>
      <c r="H62" s="22"/>
      <c r="I62" s="22"/>
      <c r="J62" s="35"/>
      <c r="K62" s="35"/>
      <c r="L62" s="35"/>
      <c r="M62" s="35"/>
      <c r="N62" s="35"/>
      <c r="O62" s="35"/>
      <c r="P62" s="35"/>
      <c r="Q62" s="35"/>
      <c r="R62" s="35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</row>
    <row r="63" spans="2:36" x14ac:dyDescent="0.25">
      <c r="C63" t="s">
        <v>142</v>
      </c>
      <c r="F63" s="22"/>
      <c r="G63" s="22"/>
      <c r="H63" s="22"/>
      <c r="I63" s="22"/>
      <c r="J63" s="35"/>
      <c r="K63" s="35"/>
      <c r="L63" s="35"/>
      <c r="M63" s="35"/>
      <c r="N63" s="35"/>
      <c r="O63" s="35"/>
      <c r="P63" s="35"/>
      <c r="Q63" s="35"/>
      <c r="R63" s="35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</row>
    <row r="64" spans="2:36" s="22" customFormat="1" x14ac:dyDescent="0.25">
      <c r="E64" s="37" t="s">
        <v>143</v>
      </c>
      <c r="F64" s="24">
        <f>Input!B19</f>
        <v>0.3</v>
      </c>
      <c r="J64" s="38">
        <f>-$F$64*J19</f>
        <v>246443.45999999996</v>
      </c>
      <c r="K64" s="38">
        <f>-$F$64*K19</f>
        <v>246443.45999999996</v>
      </c>
      <c r="L64" s="38">
        <f t="shared" ref="L64:R64" si="28">-$F$64*L19</f>
        <v>246443.45999999996</v>
      </c>
      <c r="M64" s="38">
        <f t="shared" si="28"/>
        <v>338345.658</v>
      </c>
      <c r="N64" s="38">
        <f t="shared" si="28"/>
        <v>338345.658</v>
      </c>
      <c r="O64" s="38">
        <f t="shared" si="28"/>
        <v>338345.658</v>
      </c>
      <c r="P64" s="38">
        <f t="shared" si="28"/>
        <v>355262.94089999999</v>
      </c>
      <c r="Q64" s="38">
        <f t="shared" si="28"/>
        <v>355262.94089999999</v>
      </c>
      <c r="R64" s="38">
        <f t="shared" si="28"/>
        <v>355262.94089999999</v>
      </c>
      <c r="S64" s="56"/>
    </row>
    <row r="65" spans="2:36" s="37" customFormat="1" x14ac:dyDescent="0.25">
      <c r="D65" s="37" t="s">
        <v>170</v>
      </c>
      <c r="J65" s="38">
        <f>J64</f>
        <v>246443.45999999996</v>
      </c>
      <c r="K65" s="38">
        <f>K64</f>
        <v>246443.45999999996</v>
      </c>
      <c r="L65" s="38">
        <f t="shared" ref="L65:R65" si="29">L64</f>
        <v>246443.45999999996</v>
      </c>
      <c r="M65" s="38">
        <f t="shared" si="29"/>
        <v>338345.658</v>
      </c>
      <c r="N65" s="38">
        <f t="shared" si="29"/>
        <v>338345.658</v>
      </c>
      <c r="O65" s="38">
        <f t="shared" si="29"/>
        <v>338345.658</v>
      </c>
      <c r="P65" s="38">
        <f t="shared" si="29"/>
        <v>355262.94089999999</v>
      </c>
      <c r="Q65" s="38">
        <f t="shared" si="29"/>
        <v>355262.94089999999</v>
      </c>
      <c r="R65" s="38">
        <f t="shared" si="29"/>
        <v>355262.94089999999</v>
      </c>
      <c r="S65" s="56"/>
    </row>
    <row r="66" spans="2:36" x14ac:dyDescent="0.25">
      <c r="E66" s="37" t="s">
        <v>144</v>
      </c>
      <c r="F66" s="22"/>
      <c r="G66" s="22"/>
      <c r="H66" s="22"/>
      <c r="I66" s="22"/>
      <c r="J66" s="35">
        <f>Workings!J19</f>
        <v>7714285.7142857146</v>
      </c>
      <c r="K66" s="35">
        <f>Workings!K19</f>
        <v>6428571.4285714291</v>
      </c>
      <c r="L66" s="35">
        <f>Workings!L19</f>
        <v>5142857.1428571437</v>
      </c>
      <c r="M66" s="35">
        <f>Workings!M19</f>
        <v>3857142.8571428577</v>
      </c>
      <c r="N66" s="35">
        <f>Workings!N19</f>
        <v>2571428.5714285718</v>
      </c>
      <c r="O66" s="35">
        <f>Workings!O19</f>
        <v>1285714.2857142859</v>
      </c>
      <c r="P66" s="35">
        <f>Workings!P19</f>
        <v>0</v>
      </c>
      <c r="Q66" s="35">
        <f>Workings!Q19</f>
        <v>0</v>
      </c>
      <c r="R66" s="35">
        <f>Workings!R19</f>
        <v>0</v>
      </c>
      <c r="S66" s="56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</row>
    <row r="67" spans="2:36" s="37" customFormat="1" x14ac:dyDescent="0.25">
      <c r="D67" s="37" t="s">
        <v>171</v>
      </c>
      <c r="J67" s="38">
        <f>J66</f>
        <v>7714285.7142857146</v>
      </c>
      <c r="K67" s="38">
        <f>K66</f>
        <v>6428571.4285714291</v>
      </c>
      <c r="L67" s="38">
        <f t="shared" ref="L67:R67" si="30">L66</f>
        <v>5142857.1428571437</v>
      </c>
      <c r="M67" s="38">
        <f t="shared" si="30"/>
        <v>3857142.8571428577</v>
      </c>
      <c r="N67" s="38">
        <f t="shared" si="30"/>
        <v>2571428.5714285718</v>
      </c>
      <c r="O67" s="38">
        <f t="shared" si="30"/>
        <v>1285714.2857142859</v>
      </c>
      <c r="P67" s="38">
        <f t="shared" si="30"/>
        <v>0</v>
      </c>
      <c r="Q67" s="38">
        <f t="shared" si="30"/>
        <v>0</v>
      </c>
      <c r="R67" s="38">
        <f t="shared" si="30"/>
        <v>0</v>
      </c>
      <c r="S67" s="56"/>
    </row>
    <row r="68" spans="2:36" s="34" customFormat="1" x14ac:dyDescent="0.25">
      <c r="D68" s="34" t="s">
        <v>145</v>
      </c>
      <c r="J68" s="76">
        <f>J65+J67</f>
        <v>7960729.1742857145</v>
      </c>
      <c r="K68" s="76">
        <f>K65+K67</f>
        <v>6675014.8885714291</v>
      </c>
      <c r="L68" s="76">
        <f t="shared" ref="L68:R68" si="31">L65+L67</f>
        <v>5389300.6028571436</v>
      </c>
      <c r="M68" s="76">
        <f t="shared" si="31"/>
        <v>4195488.515142858</v>
      </c>
      <c r="N68" s="76">
        <f t="shared" si="31"/>
        <v>2909774.2294285716</v>
      </c>
      <c r="O68" s="76">
        <f t="shared" si="31"/>
        <v>1624059.943714286</v>
      </c>
      <c r="P68" s="76">
        <f t="shared" si="31"/>
        <v>355262.94089999999</v>
      </c>
      <c r="Q68" s="76">
        <f t="shared" si="31"/>
        <v>355262.94089999999</v>
      </c>
      <c r="R68" s="76">
        <f t="shared" si="31"/>
        <v>355262.94089999999</v>
      </c>
      <c r="S68" s="56"/>
    </row>
    <row r="69" spans="2:36" x14ac:dyDescent="0.25">
      <c r="F69" s="22"/>
      <c r="G69" s="22"/>
      <c r="H69" s="22"/>
      <c r="I69" s="22"/>
      <c r="J69" s="35"/>
      <c r="K69" s="35"/>
      <c r="L69" s="35"/>
      <c r="M69" s="35"/>
      <c r="N69" s="35"/>
      <c r="O69" s="35"/>
      <c r="P69" s="35"/>
      <c r="Q69" s="35"/>
      <c r="R69" s="35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</row>
    <row r="70" spans="2:36" x14ac:dyDescent="0.25">
      <c r="D70" t="s">
        <v>146</v>
      </c>
      <c r="F70" s="22"/>
      <c r="G70" s="22"/>
      <c r="H70" s="22"/>
      <c r="I70" s="22"/>
      <c r="J70" s="35"/>
      <c r="K70" s="35"/>
      <c r="L70" s="35"/>
      <c r="M70" s="35"/>
      <c r="N70" s="35"/>
      <c r="O70" s="35"/>
      <c r="P70" s="35"/>
      <c r="Q70" s="35"/>
      <c r="R70" s="35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</row>
    <row r="71" spans="2:36" x14ac:dyDescent="0.25">
      <c r="E71" s="37" t="s">
        <v>148</v>
      </c>
      <c r="F71" s="22"/>
      <c r="G71" s="22"/>
      <c r="H71" s="22"/>
      <c r="I71" s="22"/>
      <c r="J71" s="38">
        <f>Input!$B$7*Input!$B$6</f>
        <v>21000000</v>
      </c>
      <c r="K71" s="38">
        <f>Input!$B$7*Input!$B$6</f>
        <v>21000000</v>
      </c>
      <c r="L71" s="38">
        <f>Input!$B$7*Input!$B$6</f>
        <v>21000000</v>
      </c>
      <c r="M71" s="38">
        <f>Input!$B$7*Input!$B$6</f>
        <v>21000000</v>
      </c>
      <c r="N71" s="38">
        <f>Input!$B$7*Input!$B$6</f>
        <v>21000000</v>
      </c>
      <c r="O71" s="38">
        <f>Input!$B$7*Input!$B$6</f>
        <v>21000000</v>
      </c>
      <c r="P71" s="38">
        <f>Input!$B$7*Input!$B$6</f>
        <v>21000000</v>
      </c>
      <c r="Q71" s="38">
        <f>Input!$B$7*Input!$B$6</f>
        <v>21000000</v>
      </c>
      <c r="R71" s="38">
        <f>Input!$B$7*Input!$B$6</f>
        <v>21000000</v>
      </c>
      <c r="S71" s="56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</row>
    <row r="72" spans="2:36" x14ac:dyDescent="0.25">
      <c r="E72" s="37" t="s">
        <v>149</v>
      </c>
      <c r="F72" s="22"/>
      <c r="G72" s="22"/>
      <c r="H72" s="22"/>
      <c r="I72" s="22"/>
      <c r="J72" s="35">
        <f ca="1">Workings!J38</f>
        <v>444929.30999999988</v>
      </c>
      <c r="K72" s="35">
        <f ca="1">Workings!K38</f>
        <v>515440.18995000009</v>
      </c>
      <c r="L72" s="35">
        <f ca="1">Workings!L38</f>
        <v>768243.4020974997</v>
      </c>
      <c r="M72" s="35">
        <f ca="1">Workings!M38</f>
        <v>1209146.0630523751</v>
      </c>
      <c r="N72" s="35">
        <f ca="1">Workings!N38</f>
        <v>1844245.645254994</v>
      </c>
      <c r="O72" s="35">
        <f ca="1">Workings!O38</f>
        <v>2679944.4947677422</v>
      </c>
      <c r="P72" s="35">
        <f ca="1">Workings!P38</f>
        <v>3722965.0749561307</v>
      </c>
      <c r="Q72" s="35">
        <f ca="1">Workings!Q38</f>
        <v>4980365.9723539362</v>
      </c>
      <c r="R72" s="35">
        <f ca="1">Workings!R38</f>
        <v>6393408.7028216347</v>
      </c>
      <c r="S72" s="56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</row>
    <row r="73" spans="2:36" s="37" customFormat="1" x14ac:dyDescent="0.25">
      <c r="D73" s="37" t="s">
        <v>169</v>
      </c>
      <c r="J73" s="76">
        <f ca="1">J71+J72</f>
        <v>21444929.309999999</v>
      </c>
      <c r="K73" s="76">
        <f ca="1">K71+K72</f>
        <v>21515440.18995</v>
      </c>
      <c r="L73" s="76">
        <f ca="1">L71+L72</f>
        <v>21768243.402097501</v>
      </c>
      <c r="M73" s="76">
        <f t="shared" ref="M73:R73" ca="1" si="32">M71+M72</f>
        <v>22209146.063052375</v>
      </c>
      <c r="N73" s="76">
        <f t="shared" ca="1" si="32"/>
        <v>22844245.645254996</v>
      </c>
      <c r="O73" s="76">
        <f t="shared" ca="1" si="32"/>
        <v>23679944.49476774</v>
      </c>
      <c r="P73" s="76">
        <f t="shared" ca="1" si="32"/>
        <v>24722965.07495613</v>
      </c>
      <c r="Q73" s="76">
        <f t="shared" ca="1" si="32"/>
        <v>25980365.972353935</v>
      </c>
      <c r="R73" s="76">
        <f t="shared" ca="1" si="32"/>
        <v>27393408.702821635</v>
      </c>
      <c r="S73" s="56"/>
    </row>
    <row r="74" spans="2:36" s="34" customFormat="1" x14ac:dyDescent="0.25">
      <c r="C74" s="34" t="s">
        <v>151</v>
      </c>
      <c r="J74" s="76">
        <f ca="1">J73+J68</f>
        <v>29405658.484285712</v>
      </c>
      <c r="K74" s="76">
        <f t="shared" ref="K74:R74" ca="1" si="33">K73+K68</f>
        <v>28190455.07852143</v>
      </c>
      <c r="L74" s="76">
        <f t="shared" ca="1" si="33"/>
        <v>27157544.004954644</v>
      </c>
      <c r="M74" s="76">
        <f t="shared" ca="1" si="33"/>
        <v>26404634.578195233</v>
      </c>
      <c r="N74" s="76">
        <f t="shared" ca="1" si="33"/>
        <v>25754019.874683566</v>
      </c>
      <c r="O74" s="76">
        <f t="shared" ca="1" si="33"/>
        <v>25304004.438482028</v>
      </c>
      <c r="P74" s="76">
        <f t="shared" ca="1" si="33"/>
        <v>25078228.015856132</v>
      </c>
      <c r="Q74" s="76">
        <f t="shared" ca="1" si="33"/>
        <v>26335628.913253937</v>
      </c>
      <c r="R74" s="76">
        <f t="shared" ca="1" si="33"/>
        <v>27748671.643721636</v>
      </c>
      <c r="S74" s="56"/>
    </row>
    <row r="75" spans="2:36" s="42" customFormat="1" x14ac:dyDescent="0.25">
      <c r="E75" s="34" t="s">
        <v>214</v>
      </c>
      <c r="J75" s="43" t="str">
        <f ca="1">IF(J74=J61,"OK")</f>
        <v>OK</v>
      </c>
      <c r="K75" s="43" t="str">
        <f t="shared" ref="K75:Q75" ca="1" si="34">IF(K74=K61,"OK")</f>
        <v>OK</v>
      </c>
      <c r="L75" s="43" t="str">
        <f t="shared" ca="1" si="34"/>
        <v>OK</v>
      </c>
      <c r="M75" s="43" t="str">
        <f t="shared" ca="1" si="34"/>
        <v>OK</v>
      </c>
      <c r="N75" s="43" t="str">
        <f t="shared" ca="1" si="34"/>
        <v>OK</v>
      </c>
      <c r="O75" s="43" t="str">
        <f t="shared" ca="1" si="34"/>
        <v>OK</v>
      </c>
      <c r="P75" s="43" t="str">
        <f t="shared" ca="1" si="34"/>
        <v>OK</v>
      </c>
      <c r="Q75" s="43" t="str">
        <f t="shared" ca="1" si="34"/>
        <v>OK</v>
      </c>
      <c r="R75" s="43" t="str">
        <f ca="1">IF(R74=R61,"OK",R61-R74)</f>
        <v>OK</v>
      </c>
      <c r="S75" s="89"/>
    </row>
    <row r="76" spans="2:36" x14ac:dyDescent="0.25">
      <c r="F76" s="22"/>
      <c r="G76" s="22"/>
      <c r="H76" s="22"/>
      <c r="I76" s="22"/>
      <c r="J76" s="35">
        <f t="shared" ref="J76:R76" ca="1" si="35">J74-J61</f>
        <v>0</v>
      </c>
      <c r="K76" s="35">
        <f t="shared" ca="1" si="35"/>
        <v>0</v>
      </c>
      <c r="L76" s="35">
        <f t="shared" ca="1" si="35"/>
        <v>0</v>
      </c>
      <c r="M76" s="35">
        <f t="shared" ca="1" si="35"/>
        <v>0</v>
      </c>
      <c r="N76" s="35">
        <f t="shared" ca="1" si="35"/>
        <v>0</v>
      </c>
      <c r="O76" s="35">
        <f t="shared" ca="1" si="35"/>
        <v>0</v>
      </c>
      <c r="P76" s="35">
        <f t="shared" ca="1" si="35"/>
        <v>0</v>
      </c>
      <c r="Q76" s="35">
        <f t="shared" ca="1" si="35"/>
        <v>0</v>
      </c>
      <c r="R76" s="35">
        <f t="shared" ca="1" si="35"/>
        <v>0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</row>
    <row r="77" spans="2:36" x14ac:dyDescent="0.25">
      <c r="B77" t="s">
        <v>163</v>
      </c>
      <c r="F77" s="22"/>
      <c r="G77" s="22"/>
      <c r="H77" s="22"/>
      <c r="I77" s="22"/>
      <c r="J77" s="35"/>
      <c r="K77" s="35"/>
      <c r="L77" s="35"/>
      <c r="M77" s="35"/>
      <c r="N77" s="35"/>
      <c r="O77" s="35"/>
      <c r="P77" s="35"/>
      <c r="Q77" s="35"/>
      <c r="R77" s="35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</row>
    <row r="78" spans="2:36" x14ac:dyDescent="0.25">
      <c r="E78" s="37" t="str">
        <f>E42</f>
        <v>EBITDA</v>
      </c>
      <c r="F78" s="22"/>
      <c r="G78" s="22"/>
      <c r="H78" s="22"/>
      <c r="I78" s="22"/>
      <c r="J78" s="40">
        <f t="shared" ref="J78:R78" si="36">J42</f>
        <v>3759748.4</v>
      </c>
      <c r="K78" s="40">
        <f t="shared" si="36"/>
        <v>3160335.5700000003</v>
      </c>
      <c r="L78" s="40">
        <f t="shared" si="36"/>
        <v>3318352.3484999994</v>
      </c>
      <c r="M78" s="40">
        <f t="shared" si="36"/>
        <v>3484269.9659250006</v>
      </c>
      <c r="N78" s="40">
        <f t="shared" si="36"/>
        <v>3658483.4642212503</v>
      </c>
      <c r="O78" s="40">
        <f t="shared" si="36"/>
        <v>3841407.6374323107</v>
      </c>
      <c r="P78" s="40">
        <f t="shared" si="36"/>
        <v>4033478.01930393</v>
      </c>
      <c r="Q78" s="40">
        <f t="shared" si="36"/>
        <v>4235151.9202691223</v>
      </c>
      <c r="R78" s="40">
        <f t="shared" si="36"/>
        <v>4446909.5162825836</v>
      </c>
      <c r="S78" s="56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</row>
    <row r="79" spans="2:36" x14ac:dyDescent="0.25">
      <c r="E79" s="37" t="s">
        <v>153</v>
      </c>
      <c r="F79" s="22"/>
      <c r="G79" s="22"/>
      <c r="H79" s="22"/>
      <c r="I79" s="22"/>
      <c r="J79" s="35">
        <f>-Workings!J11</f>
        <v>-256056.56000000006</v>
      </c>
      <c r="K79" s="35">
        <f>-Workings!K11</f>
        <v>0</v>
      </c>
      <c r="L79" s="35">
        <f>-Workings!L11</f>
        <v>0</v>
      </c>
      <c r="M79" s="35">
        <f>-Workings!M11</f>
        <v>40250.521999999983</v>
      </c>
      <c r="N79" s="35">
        <f>-Workings!N11</f>
        <v>0</v>
      </c>
      <c r="O79" s="35">
        <f>-Workings!O11</f>
        <v>0</v>
      </c>
      <c r="P79" s="35">
        <f>-Workings!P11</f>
        <v>-10790.301899999962</v>
      </c>
      <c r="Q79" s="35">
        <f>-Workings!Q11</f>
        <v>0</v>
      </c>
      <c r="R79" s="35">
        <f>-Workings!R11</f>
        <v>0</v>
      </c>
      <c r="S79" s="56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</row>
    <row r="80" spans="2:36" x14ac:dyDescent="0.25">
      <c r="E80" s="37" t="s">
        <v>188</v>
      </c>
      <c r="F80" s="22"/>
      <c r="G80" s="22"/>
      <c r="H80" s="22"/>
      <c r="I80" s="22"/>
      <c r="J80" s="35">
        <f ca="1">Workings!J25</f>
        <v>-151336.49999999997</v>
      </c>
      <c r="K80" s="35">
        <f ca="1">Workings!K25</f>
        <v>-23983.292500000069</v>
      </c>
      <c r="L80" s="35">
        <f ca="1">Workings!L25</f>
        <v>-85987.487124999854</v>
      </c>
      <c r="M80" s="35">
        <f ca="1">Workings!M25</f>
        <v>-149966.89148125015</v>
      </c>
      <c r="N80" s="35">
        <f ca="1">Workings!N25</f>
        <v>-216020.26605531259</v>
      </c>
      <c r="O80" s="35">
        <f ca="1">Workings!O25</f>
        <v>-284251.30935807771</v>
      </c>
      <c r="P80" s="35">
        <f ca="1">Workings!P25</f>
        <v>-354768.90482598252</v>
      </c>
      <c r="Q80" s="35">
        <f ca="1">Workings!Q25</f>
        <v>-427687.38006728061</v>
      </c>
      <c r="R80" s="35">
        <f ca="1">Workings!R25</f>
        <v>-480626.77907064592</v>
      </c>
      <c r="S80" s="56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</row>
    <row r="81" spans="3:36" x14ac:dyDescent="0.25">
      <c r="E81" s="37" t="s">
        <v>154</v>
      </c>
      <c r="F81" s="22"/>
      <c r="G81" s="22"/>
      <c r="H81" s="22"/>
      <c r="I81" s="22"/>
      <c r="J81" s="35"/>
      <c r="K81" s="35"/>
      <c r="L81" s="35"/>
      <c r="M81" s="35"/>
      <c r="N81" s="35"/>
      <c r="O81" s="35"/>
      <c r="P81" s="35"/>
      <c r="Q81" s="35"/>
      <c r="R81" s="35"/>
      <c r="S81" s="56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</row>
    <row r="82" spans="3:36" s="34" customFormat="1" x14ac:dyDescent="0.25">
      <c r="C82" s="34" t="s">
        <v>159</v>
      </c>
      <c r="J82" s="76">
        <f ca="1">SUM(J78:J81)</f>
        <v>3352355.34</v>
      </c>
      <c r="K82" s="76">
        <f ca="1">SUM(K78:K81)</f>
        <v>3136352.2775000003</v>
      </c>
      <c r="L82" s="76">
        <f t="shared" ref="L82:R82" ca="1" si="37">SUM(L78:L81)</f>
        <v>3232364.8613749994</v>
      </c>
      <c r="M82" s="76">
        <f t="shared" ca="1" si="37"/>
        <v>3374553.5964437504</v>
      </c>
      <c r="N82" s="76">
        <f t="shared" ca="1" si="37"/>
        <v>3442463.1981659378</v>
      </c>
      <c r="O82" s="76">
        <f t="shared" ca="1" si="37"/>
        <v>3557156.3280742331</v>
      </c>
      <c r="P82" s="76">
        <f t="shared" ca="1" si="37"/>
        <v>3667918.8125779475</v>
      </c>
      <c r="Q82" s="76">
        <f t="shared" ca="1" si="37"/>
        <v>3807464.5402018419</v>
      </c>
      <c r="R82" s="76">
        <f t="shared" ca="1" si="37"/>
        <v>3966282.7372119376</v>
      </c>
      <c r="S82" s="56"/>
    </row>
    <row r="83" spans="3:36" x14ac:dyDescent="0.25">
      <c r="E83" s="37" t="s">
        <v>155</v>
      </c>
      <c r="F83" s="22"/>
      <c r="G83" s="22"/>
      <c r="H83" s="22"/>
      <c r="I83" s="22"/>
      <c r="J83" s="35">
        <f ca="1">-Capex!J7</f>
        <v>-25244024</v>
      </c>
      <c r="K83" s="35">
        <f ca="1">-Capex!K7</f>
        <v>0</v>
      </c>
      <c r="L83" s="35">
        <f ca="1">-Capex!L7</f>
        <v>0</v>
      </c>
      <c r="M83" s="35">
        <f ca="1">-Capex!M7</f>
        <v>0</v>
      </c>
      <c r="N83" s="35">
        <f ca="1">-Capex!N7</f>
        <v>0</v>
      </c>
      <c r="O83" s="35">
        <f ca="1">-Capex!O7</f>
        <v>0</v>
      </c>
      <c r="P83" s="35">
        <f ca="1">-Capex!P7</f>
        <v>0</v>
      </c>
      <c r="Q83" s="35">
        <f ca="1">-Capex!Q7</f>
        <v>0</v>
      </c>
      <c r="R83" s="35">
        <f ca="1">-Capex!R7</f>
        <v>0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</row>
    <row r="84" spans="3:36" s="34" customFormat="1" x14ac:dyDescent="0.25">
      <c r="C84" s="34" t="s">
        <v>165</v>
      </c>
      <c r="J84" s="76">
        <f ca="1">J83</f>
        <v>-25244024</v>
      </c>
      <c r="K84" s="76">
        <f ca="1">K83</f>
        <v>0</v>
      </c>
      <c r="L84" s="76">
        <f t="shared" ref="L84:R84" ca="1" si="38">L83</f>
        <v>0</v>
      </c>
      <c r="M84" s="76">
        <f t="shared" ca="1" si="38"/>
        <v>0</v>
      </c>
      <c r="N84" s="76">
        <f t="shared" ca="1" si="38"/>
        <v>0</v>
      </c>
      <c r="O84" s="76">
        <f t="shared" ca="1" si="38"/>
        <v>0</v>
      </c>
      <c r="P84" s="76">
        <f t="shared" ca="1" si="38"/>
        <v>0</v>
      </c>
      <c r="Q84" s="76">
        <f t="shared" ca="1" si="38"/>
        <v>0</v>
      </c>
      <c r="R84" s="76">
        <f t="shared" ca="1" si="38"/>
        <v>0</v>
      </c>
    </row>
    <row r="85" spans="3:36" x14ac:dyDescent="0.25">
      <c r="E85" s="37" t="s">
        <v>156</v>
      </c>
      <c r="F85" s="22"/>
      <c r="G85" s="22"/>
      <c r="H85" s="22"/>
      <c r="I85" s="22"/>
      <c r="J85" s="35">
        <f>Workings!G41</f>
        <v>21000000</v>
      </c>
      <c r="K85" s="35">
        <f>Workings!H41</f>
        <v>0</v>
      </c>
      <c r="L85" s="35">
        <f>Workings!I41</f>
        <v>0</v>
      </c>
      <c r="M85" s="35">
        <f>Workings!J41</f>
        <v>0</v>
      </c>
      <c r="N85" s="35">
        <f>Workings!K41</f>
        <v>0</v>
      </c>
      <c r="O85" s="35">
        <f>Workings!L41</f>
        <v>0</v>
      </c>
      <c r="P85" s="35">
        <f>Workings!M41</f>
        <v>0</v>
      </c>
      <c r="Q85" s="35">
        <f>Workings!N41</f>
        <v>0</v>
      </c>
      <c r="R85" s="35">
        <f>Workings!O41</f>
        <v>0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</row>
    <row r="86" spans="3:36" x14ac:dyDescent="0.25">
      <c r="E86" s="37" t="s">
        <v>157</v>
      </c>
      <c r="F86" s="22"/>
      <c r="G86" s="22"/>
      <c r="H86" s="22"/>
      <c r="I86" s="22"/>
      <c r="J86" s="35">
        <f>Workings!G42</f>
        <v>9000000</v>
      </c>
      <c r="K86" s="35">
        <f>Workings!H42</f>
        <v>0</v>
      </c>
      <c r="L86" s="35">
        <f>Workings!I42</f>
        <v>0</v>
      </c>
      <c r="M86" s="35">
        <f>Workings!J42</f>
        <v>0</v>
      </c>
      <c r="N86" s="35">
        <f>Workings!K42</f>
        <v>0</v>
      </c>
      <c r="O86" s="35">
        <f>Workings!L42</f>
        <v>0</v>
      </c>
      <c r="P86" s="35">
        <f>Workings!M42</f>
        <v>0</v>
      </c>
      <c r="Q86" s="35">
        <f>Workings!N42</f>
        <v>0</v>
      </c>
      <c r="R86" s="35">
        <f>Workings!O42</f>
        <v>0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</row>
    <row r="87" spans="3:36" x14ac:dyDescent="0.25">
      <c r="E87" s="37" t="s">
        <v>210</v>
      </c>
      <c r="F87" s="22"/>
      <c r="G87" s="22"/>
      <c r="H87" s="22"/>
      <c r="I87" s="22"/>
      <c r="J87" s="35">
        <f>Workings!J18</f>
        <v>-1285714.2857142857</v>
      </c>
      <c r="K87" s="35">
        <f>Workings!K18</f>
        <v>-1285714.2857142857</v>
      </c>
      <c r="L87" s="35">
        <f>Workings!L18</f>
        <v>-1285714.2857142859</v>
      </c>
      <c r="M87" s="35">
        <f>Workings!M18</f>
        <v>-1285714.2857142859</v>
      </c>
      <c r="N87" s="35">
        <f>Workings!N18</f>
        <v>-1285714.2857142859</v>
      </c>
      <c r="O87" s="35">
        <f>Workings!O18</f>
        <v>-1285714.2857142859</v>
      </c>
      <c r="P87" s="35">
        <f>Workings!P18</f>
        <v>-1285714.2857142859</v>
      </c>
      <c r="Q87" s="35" t="str">
        <f>Workings!Q18</f>
        <v>-</v>
      </c>
      <c r="R87" s="35" t="str">
        <f>Workings!R18</f>
        <v>-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</row>
    <row r="88" spans="3:36" x14ac:dyDescent="0.25">
      <c r="E88" s="37" t="s">
        <v>189</v>
      </c>
      <c r="F88" s="22"/>
      <c r="G88" s="22"/>
      <c r="H88" s="22"/>
      <c r="I88" s="22"/>
      <c r="J88" s="35">
        <f>Workings!J17</f>
        <v>-630000.00000000012</v>
      </c>
      <c r="K88" s="35">
        <f>Workings!K17</f>
        <v>-540000.00000000012</v>
      </c>
      <c r="L88" s="35">
        <f>Workings!L17</f>
        <v>-450000.00000000006</v>
      </c>
      <c r="M88" s="35">
        <f>Workings!M17</f>
        <v>-360000.00000000012</v>
      </c>
      <c r="N88" s="35">
        <f>Workings!N17</f>
        <v>-270000.00000000006</v>
      </c>
      <c r="O88" s="35">
        <f>Workings!O17</f>
        <v>-180000.00000000006</v>
      </c>
      <c r="P88" s="35">
        <f>Workings!P17</f>
        <v>-90000.000000000029</v>
      </c>
      <c r="Q88" s="35">
        <f>Workings!Q17</f>
        <v>0</v>
      </c>
      <c r="R88" s="35">
        <f>Workings!R17</f>
        <v>0</v>
      </c>
      <c r="S88" s="56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</row>
    <row r="89" spans="3:36" x14ac:dyDescent="0.25">
      <c r="E89" s="37" t="s">
        <v>158</v>
      </c>
      <c r="F89" s="22"/>
      <c r="G89" s="22"/>
      <c r="H89" s="22"/>
      <c r="I89" s="22"/>
      <c r="J89" s="35">
        <f ca="1">Workings!J31</f>
        <v>-9080.1899999999987</v>
      </c>
      <c r="K89" s="35">
        <f ca="1">Workings!K31</f>
        <v>-1438.9975500000041</v>
      </c>
      <c r="L89" s="35">
        <f ca="1">Workings!L31</f>
        <v>-5159.2492274999913</v>
      </c>
      <c r="M89" s="35">
        <f ca="1">Workings!M31</f>
        <v>-8998.013488875009</v>
      </c>
      <c r="N89" s="35">
        <f ca="1">Workings!N31</f>
        <v>-12961.215963318755</v>
      </c>
      <c r="O89" s="35">
        <f ca="1">Workings!O31</f>
        <v>-17055.078561484661</v>
      </c>
      <c r="P89" s="35">
        <f ca="1">Workings!P31</f>
        <v>-21286.134289558948</v>
      </c>
      <c r="Q89" s="35">
        <f ca="1">Workings!Q31</f>
        <v>-25661.24280403684</v>
      </c>
      <c r="R89" s="35">
        <f ca="1">Workings!R31</f>
        <v>-28837.606744238754</v>
      </c>
      <c r="S89" s="56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</row>
    <row r="90" spans="3:36" s="34" customFormat="1" x14ac:dyDescent="0.25">
      <c r="C90" s="34" t="s">
        <v>164</v>
      </c>
      <c r="J90" s="76">
        <f ca="1">SUM(J85:J89)</f>
        <v>28075205.524285711</v>
      </c>
      <c r="K90" s="76">
        <f ca="1">SUM(K85:K89)</f>
        <v>-1827153.2832642859</v>
      </c>
      <c r="L90" s="76">
        <f t="shared" ref="L90:R90" ca="1" si="39">SUM(L85:L89)</f>
        <v>-1740873.534941786</v>
      </c>
      <c r="M90" s="76">
        <f t="shared" ca="1" si="39"/>
        <v>-1654712.2992031609</v>
      </c>
      <c r="N90" s="76">
        <f t="shared" ca="1" si="39"/>
        <v>-1568675.5016776046</v>
      </c>
      <c r="O90" s="76">
        <f t="shared" ca="1" si="39"/>
        <v>-1482769.3642757705</v>
      </c>
      <c r="P90" s="76">
        <f t="shared" ca="1" si="39"/>
        <v>-1397000.4200038449</v>
      </c>
      <c r="Q90" s="76">
        <f t="shared" ca="1" si="39"/>
        <v>-25661.24280403684</v>
      </c>
      <c r="R90" s="76">
        <f t="shared" ca="1" si="39"/>
        <v>-28837.606744238754</v>
      </c>
      <c r="S90" s="56"/>
    </row>
    <row r="91" spans="3:36" s="34" customFormat="1" x14ac:dyDescent="0.25">
      <c r="E91" s="34" t="s">
        <v>167</v>
      </c>
      <c r="J91" s="76">
        <f ca="1">J82+J84+J90</f>
        <v>6183536.8642857112</v>
      </c>
      <c r="K91" s="76">
        <f ca="1">K82+K84+K90</f>
        <v>1309198.9942357144</v>
      </c>
      <c r="L91" s="76">
        <f t="shared" ref="L91:R91" ca="1" si="40">L82+L84+L90</f>
        <v>1491491.3264332134</v>
      </c>
      <c r="M91" s="76">
        <f t="shared" ca="1" si="40"/>
        <v>1719841.2972405895</v>
      </c>
      <c r="N91" s="76">
        <f t="shared" ca="1" si="40"/>
        <v>1873787.6964883332</v>
      </c>
      <c r="O91" s="76">
        <f t="shared" ca="1" si="40"/>
        <v>2074386.9637984626</v>
      </c>
      <c r="P91" s="76">
        <f t="shared" ca="1" si="40"/>
        <v>2270918.3925741026</v>
      </c>
      <c r="Q91" s="76">
        <f t="shared" ca="1" si="40"/>
        <v>3781803.2973978049</v>
      </c>
      <c r="R91" s="76">
        <f t="shared" ca="1" si="40"/>
        <v>3937445.1304676989</v>
      </c>
      <c r="S91" s="56"/>
    </row>
    <row r="92" spans="3:36" s="37" customFormat="1" x14ac:dyDescent="0.25">
      <c r="E92" s="37" t="s">
        <v>166</v>
      </c>
      <c r="J92" s="38">
        <f>I93</f>
        <v>0</v>
      </c>
      <c r="K92" s="38">
        <f ca="1">J93</f>
        <v>6183536.8642857112</v>
      </c>
      <c r="L92" s="38">
        <f t="shared" ref="L92:R92" ca="1" si="41">K93</f>
        <v>7492735.8585214261</v>
      </c>
      <c r="M92" s="38">
        <f t="shared" ca="1" si="41"/>
        <v>8984227.1849546395</v>
      </c>
      <c r="N92" s="38">
        <f t="shared" ca="1" si="41"/>
        <v>10704068.482195228</v>
      </c>
      <c r="O92" s="38">
        <f t="shared" ca="1" si="41"/>
        <v>12577856.178683562</v>
      </c>
      <c r="P92" s="38">
        <f t="shared" ca="1" si="41"/>
        <v>14652243.142482026</v>
      </c>
      <c r="Q92" s="38">
        <f t="shared" ca="1" si="41"/>
        <v>16923161.535056129</v>
      </c>
      <c r="R92" s="38">
        <f t="shared" ca="1" si="41"/>
        <v>20704964.832453933</v>
      </c>
      <c r="S92" s="56"/>
    </row>
    <row r="93" spans="3:36" s="34" customFormat="1" x14ac:dyDescent="0.25">
      <c r="E93" s="34" t="s">
        <v>168</v>
      </c>
      <c r="J93" s="76">
        <f ca="1">J91+J92</f>
        <v>6183536.8642857112</v>
      </c>
      <c r="K93" s="76">
        <f ca="1">K91+K92</f>
        <v>7492735.8585214261</v>
      </c>
      <c r="L93" s="76">
        <f t="shared" ref="L93:R93" ca="1" si="42">L91+L92</f>
        <v>8984227.1849546395</v>
      </c>
      <c r="M93" s="76">
        <f t="shared" ca="1" si="42"/>
        <v>10704068.482195228</v>
      </c>
      <c r="N93" s="76">
        <f t="shared" ca="1" si="42"/>
        <v>12577856.178683562</v>
      </c>
      <c r="O93" s="76">
        <f t="shared" ca="1" si="42"/>
        <v>14652243.142482026</v>
      </c>
      <c r="P93" s="76">
        <f t="shared" ca="1" si="42"/>
        <v>16923161.535056129</v>
      </c>
      <c r="Q93" s="76">
        <f t="shared" ca="1" si="42"/>
        <v>20704964.832453933</v>
      </c>
      <c r="R93" s="76">
        <f t="shared" ca="1" si="42"/>
        <v>24642409.962921631</v>
      </c>
      <c r="S93" s="56"/>
    </row>
    <row r="94" spans="3:36" x14ac:dyDescent="0.25"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</row>
    <row r="95" spans="3:36" x14ac:dyDescent="0.25"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</row>
    <row r="96" spans="3:36" x14ac:dyDescent="0.25"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</row>
    <row r="97" spans="6:36" x14ac:dyDescent="0.25"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</row>
    <row r="98" spans="6:36" x14ac:dyDescent="0.25"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</row>
    <row r="99" spans="6:36" x14ac:dyDescent="0.25"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</row>
    <row r="100" spans="6:36" x14ac:dyDescent="0.25"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</row>
    <row r="101" spans="6:36" x14ac:dyDescent="0.25"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</row>
    <row r="102" spans="6:36" x14ac:dyDescent="0.25"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</row>
    <row r="103" spans="6:36" x14ac:dyDescent="0.25"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</row>
    <row r="104" spans="6:36" x14ac:dyDescent="0.25"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</row>
    <row r="105" spans="6:36" x14ac:dyDescent="0.25"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</row>
    <row r="106" spans="6:36" x14ac:dyDescent="0.25"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</row>
    <row r="107" spans="6:36" x14ac:dyDescent="0.25"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</row>
    <row r="108" spans="6:36" x14ac:dyDescent="0.25"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</row>
    <row r="109" spans="6:36" x14ac:dyDescent="0.25"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5EA9EC2F-AC2D-4B4B-8783-E1C81DE2A905}">
          <x14:colorSeries theme="7" tint="0.39997558519241921"/>
          <x14:colorNegative theme="0" tint="-0.499984740745262"/>
          <x14:colorAxis rgb="FF000000"/>
          <x14:colorMarkers theme="7" tint="0.79998168889431442"/>
          <x14:colorFirst theme="7" tint="-0.249977111117893"/>
          <x14:colorLast theme="7" tint="-0.249977111117893"/>
          <x14:colorHigh theme="7" tint="-0.499984740745262"/>
          <x14:colorLow theme="7" tint="-0.499984740745262"/>
          <x14:sparklines>
            <x14:sparkline>
              <xm:f>'Fin Statements'!J27:R27</xm:f>
              <xm:sqref>S27</xm:sqref>
            </x14:sparkline>
            <x14:sparkline>
              <xm:f>'Fin Statements'!J28:R28</xm:f>
              <xm:sqref>S28</xm:sqref>
            </x14:sparkline>
            <x14:sparkline>
              <xm:f>'Fin Statements'!J29:R29</xm:f>
              <xm:sqref>S29</xm:sqref>
            </x14:sparkline>
            <x14:sparkline>
              <xm:f>'Fin Statements'!J30:R30</xm:f>
              <xm:sqref>S30</xm:sqref>
            </x14:sparkline>
            <x14:sparkline>
              <xm:f>'Fin Statements'!J31:R31</xm:f>
              <xm:sqref>S31</xm:sqref>
            </x14:sparkline>
            <x14:sparkline>
              <xm:f>'Fin Statements'!J32:R32</xm:f>
              <xm:sqref>S32</xm:sqref>
            </x14:sparkline>
            <x14:sparkline>
              <xm:f>'Fin Statements'!J33:R33</xm:f>
              <xm:sqref>S33</xm:sqref>
            </x14:sparkline>
            <x14:sparkline>
              <xm:f>'Fin Statements'!J34:R34</xm:f>
              <xm:sqref>S34</xm:sqref>
            </x14:sparkline>
            <x14:sparkline>
              <xm:f>'Fin Statements'!J35:R35</xm:f>
              <xm:sqref>S35</xm:sqref>
            </x14:sparkline>
            <x14:sparkline>
              <xm:f>'Fin Statements'!J36:R36</xm:f>
              <xm:sqref>S36</xm:sqref>
            </x14:sparkline>
            <x14:sparkline>
              <xm:f>'Fin Statements'!J37:R37</xm:f>
              <xm:sqref>S37</xm:sqref>
            </x14:sparkline>
            <x14:sparkline>
              <xm:f>'Fin Statements'!J38:R38</xm:f>
              <xm:sqref>S38</xm:sqref>
            </x14:sparkline>
            <x14:sparkline>
              <xm:f>'Fin Statements'!J39:R39</xm:f>
              <xm:sqref>S39</xm:sqref>
            </x14:sparkline>
            <x14:sparkline>
              <xm:f>'Fin Statements'!J40:R40</xm:f>
              <xm:sqref>S40</xm:sqref>
            </x14:sparkline>
            <x14:sparkline>
              <xm:f>'Fin Statements'!J41:R41</xm:f>
              <xm:sqref>S41</xm:sqref>
            </x14:sparkline>
            <x14:sparkline>
              <xm:f>'Fin Statements'!J42:R42</xm:f>
              <xm:sqref>S42</xm:sqref>
            </x14:sparkline>
            <x14:sparkline>
              <xm:f>'Fin Statements'!J43:R43</xm:f>
              <xm:sqref>S43</xm:sqref>
            </x14:sparkline>
            <x14:sparkline>
              <xm:f>'Fin Statements'!J44:R44</xm:f>
              <xm:sqref>S44</xm:sqref>
            </x14:sparkline>
            <x14:sparkline>
              <xm:f>'Fin Statements'!J45:R45</xm:f>
              <xm:sqref>S45</xm:sqref>
            </x14:sparkline>
            <x14:sparkline>
              <xm:f>'Fin Statements'!J46:R46</xm:f>
              <xm:sqref>S46</xm:sqref>
            </x14:sparkline>
            <x14:sparkline>
              <xm:f>'Fin Statements'!J47:R47</xm:f>
              <xm:sqref>S47</xm:sqref>
            </x14:sparkline>
            <x14:sparkline>
              <xm:f>'Fin Statements'!J48:R48</xm:f>
              <xm:sqref>S48</xm:sqref>
            </x14:sparkline>
          </x14:sparklines>
        </x14:sparklineGroup>
        <x14:sparklineGroup displayEmptyCellsAs="gap" high="1" low="1" xr2:uid="{494BEB81-8EE3-49FA-BC97-133FD268DFBD}">
          <x14:colorSeries theme="7" tint="0.39997558519241921"/>
          <x14:colorNegative theme="0" tint="-0.499984740745262"/>
          <x14:colorAxis rgb="FF000000"/>
          <x14:colorMarkers theme="7" tint="0.79998168889431442"/>
          <x14:colorFirst theme="7" tint="-0.249977111117893"/>
          <x14:colorLast theme="7" tint="-0.249977111117893"/>
          <x14:colorHigh theme="7" tint="-0.499984740745262"/>
          <x14:colorLow theme="7" tint="-0.499984740745262"/>
          <x14:sparklines>
            <x14:sparkline>
              <xm:f>'Fin Statements'!J88:R88</xm:f>
              <xm:sqref>S88</xm:sqref>
            </x14:sparkline>
            <x14:sparkline>
              <xm:f>'Fin Statements'!J89:R89</xm:f>
              <xm:sqref>S89</xm:sqref>
            </x14:sparkline>
            <x14:sparkline>
              <xm:f>'Fin Statements'!J90:R90</xm:f>
              <xm:sqref>S90</xm:sqref>
            </x14:sparkline>
            <x14:sparkline>
              <xm:f>'Fin Statements'!J91:R91</xm:f>
              <xm:sqref>S91</xm:sqref>
            </x14:sparkline>
            <x14:sparkline>
              <xm:f>'Fin Statements'!J92:R92</xm:f>
              <xm:sqref>S92</xm:sqref>
            </x14:sparkline>
            <x14:sparkline>
              <xm:f>'Fin Statements'!J93:R93</xm:f>
              <xm:sqref>S93</xm:sqref>
            </x14:sparkline>
            <x14:sparkline>
              <xm:f>'Fin Statements'!J78:R78</xm:f>
              <xm:sqref>S78</xm:sqref>
            </x14:sparkline>
            <x14:sparkline>
              <xm:f>'Fin Statements'!J79:R79</xm:f>
              <xm:sqref>S79</xm:sqref>
            </x14:sparkline>
            <x14:sparkline>
              <xm:f>'Fin Statements'!J80:R80</xm:f>
              <xm:sqref>S80</xm:sqref>
            </x14:sparkline>
            <x14:sparkline>
              <xm:f>'Fin Statements'!J81:R81</xm:f>
              <xm:sqref>S81</xm:sqref>
            </x14:sparkline>
            <x14:sparkline>
              <xm:f>'Fin Statements'!J82:R82</xm:f>
              <xm:sqref>S82</xm:sqref>
            </x14:sparkline>
            <x14:sparkline>
              <xm:f>'Fin Statements'!J71:R71</xm:f>
              <xm:sqref>S71</xm:sqref>
            </x14:sparkline>
            <x14:sparkline>
              <xm:f>'Fin Statements'!J72:R72</xm:f>
              <xm:sqref>S72</xm:sqref>
            </x14:sparkline>
            <x14:sparkline>
              <xm:f>'Fin Statements'!J73:R73</xm:f>
              <xm:sqref>S73</xm:sqref>
            </x14:sparkline>
            <x14:sparkline>
              <xm:f>'Fin Statements'!J74:R74</xm:f>
              <xm:sqref>S74</xm:sqref>
            </x14:sparkline>
            <x14:sparkline>
              <xm:f>'Fin Statements'!J64:R64</xm:f>
              <xm:sqref>S64</xm:sqref>
            </x14:sparkline>
            <x14:sparkline>
              <xm:f>'Fin Statements'!J65:R65</xm:f>
              <xm:sqref>S65</xm:sqref>
            </x14:sparkline>
            <x14:sparkline>
              <xm:f>'Fin Statements'!J66:R66</xm:f>
              <xm:sqref>S66</xm:sqref>
            </x14:sparkline>
            <x14:sparkline>
              <xm:f>'Fin Statements'!J67:R67</xm:f>
              <xm:sqref>S67</xm:sqref>
            </x14:sparkline>
            <x14:sparkline>
              <xm:f>'Fin Statements'!J68:R68</xm:f>
              <xm:sqref>S68</xm:sqref>
            </x14:sparkline>
            <x14:sparkline>
              <xm:f>'Fin Statements'!J56:R56</xm:f>
              <xm:sqref>S56</xm:sqref>
            </x14:sparkline>
            <x14:sparkline>
              <xm:f>'Fin Statements'!J57:R57</xm:f>
              <xm:sqref>S57</xm:sqref>
            </x14:sparkline>
            <x14:sparkline>
              <xm:f>'Fin Statements'!J58:R58</xm:f>
              <xm:sqref>S58</xm:sqref>
            </x14:sparkline>
            <x14:sparkline>
              <xm:f>'Fin Statements'!J59:R59</xm:f>
              <xm:sqref>S59</xm:sqref>
            </x14:sparkline>
            <x14:sparkline>
              <xm:f>'Fin Statements'!J60:R60</xm:f>
              <xm:sqref>S60</xm:sqref>
            </x14:sparkline>
            <x14:sparkline>
              <xm:f>'Fin Statements'!J61:R61</xm:f>
              <xm:sqref>S61</xm:sqref>
            </x14:sparkline>
            <x14:sparkline>
              <xm:f>'Fin Statements'!J51:R51</xm:f>
              <xm:sqref>S51</xm:sqref>
            </x14:sparkline>
            <x14:sparkline>
              <xm:f>'Fin Statements'!J50:R50</xm:f>
              <xm:sqref>S50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B97E6-D9CE-4218-A28A-3B39AC5A7FEE}">
  <sheetPr codeName="Sheet11">
    <tabColor rgb="FFFF0000"/>
  </sheetPr>
  <dimension ref="A1:AJ42"/>
  <sheetViews>
    <sheetView showGridLines="0" zoomScale="70" zoomScaleNormal="70" workbookViewId="0">
      <pane xSplit="9" ySplit="4" topLeftCell="J5" activePane="bottomRight" state="frozen"/>
      <selection pane="topRight"/>
      <selection pane="bottomLeft"/>
      <selection pane="bottomRight" activeCell="J5" sqref="J5"/>
    </sheetView>
  </sheetViews>
  <sheetFormatPr defaultRowHeight="15" x14ac:dyDescent="0.25"/>
  <cols>
    <col min="1" max="4" width="2.28515625" style="47" customWidth="1"/>
    <col min="5" max="5" width="15.85546875" style="49" customWidth="1"/>
    <col min="6" max="6" width="13.42578125" style="47" customWidth="1"/>
    <col min="7" max="7" width="13.85546875" style="47" customWidth="1"/>
    <col min="8" max="8" width="9.140625" style="47"/>
    <col min="9" max="9" width="2.7109375" style="47" customWidth="1"/>
    <col min="10" max="18" width="15.5703125" style="46" customWidth="1"/>
    <col min="19" max="16384" width="9.140625" style="47"/>
  </cols>
  <sheetData>
    <row r="1" spans="1:36" ht="34.5" x14ac:dyDescent="0.55000000000000004">
      <c r="A1" s="48" t="s">
        <v>190</v>
      </c>
    </row>
    <row r="2" spans="1:36" s="50" customFormat="1" x14ac:dyDescent="0.25">
      <c r="E2" s="51"/>
      <c r="J2" s="52" t="s">
        <v>75</v>
      </c>
      <c r="K2" s="52" t="s">
        <v>119</v>
      </c>
      <c r="L2" s="52" t="s">
        <v>120</v>
      </c>
      <c r="M2" s="52" t="s">
        <v>121</v>
      </c>
      <c r="N2" s="52" t="s">
        <v>122</v>
      </c>
      <c r="O2" s="52" t="s">
        <v>123</v>
      </c>
      <c r="P2" s="52" t="s">
        <v>124</v>
      </c>
      <c r="Q2" s="52" t="s">
        <v>125</v>
      </c>
      <c r="R2" s="52" t="s">
        <v>126</v>
      </c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</row>
    <row r="3" spans="1:36" x14ac:dyDescent="0.25">
      <c r="J3" s="53">
        <v>45536</v>
      </c>
      <c r="K3" s="54">
        <v>45901</v>
      </c>
      <c r="L3" s="53">
        <v>46266</v>
      </c>
      <c r="M3" s="54">
        <v>46631</v>
      </c>
      <c r="N3" s="53">
        <v>46997</v>
      </c>
      <c r="O3" s="54">
        <v>47362</v>
      </c>
      <c r="P3" s="53">
        <v>47727</v>
      </c>
      <c r="Q3" s="54">
        <v>48092</v>
      </c>
      <c r="R3" s="53">
        <v>48458</v>
      </c>
    </row>
    <row r="4" spans="1:36" x14ac:dyDescent="0.25">
      <c r="J4" s="46">
        <v>1</v>
      </c>
      <c r="K4" s="46">
        <v>2</v>
      </c>
      <c r="L4" s="46">
        <v>3</v>
      </c>
      <c r="M4" s="46">
        <v>4</v>
      </c>
      <c r="N4" s="46">
        <v>5</v>
      </c>
      <c r="O4" s="46">
        <v>6</v>
      </c>
      <c r="P4" s="46">
        <v>7</v>
      </c>
      <c r="Q4" s="46">
        <v>8</v>
      </c>
      <c r="R4" s="46">
        <v>9</v>
      </c>
    </row>
    <row r="6" spans="1:36" x14ac:dyDescent="0.25">
      <c r="B6" s="47" t="s">
        <v>134</v>
      </c>
    </row>
    <row r="7" spans="1:36" x14ac:dyDescent="0.25">
      <c r="C7" s="47" t="s">
        <v>183</v>
      </c>
    </row>
    <row r="8" spans="1:36" x14ac:dyDescent="0.25">
      <c r="E8" s="49" t="s">
        <v>184</v>
      </c>
      <c r="J8" s="46">
        <f>'Fin Statements'!J58-'Fin Statements'!I58</f>
        <v>420352.2</v>
      </c>
      <c r="K8" s="46">
        <f>'Fin Statements'!K58-'Fin Statements'!J58</f>
        <v>0</v>
      </c>
      <c r="L8" s="46">
        <f>'Fin Statements'!L58-'Fin Statements'!K58</f>
        <v>0</v>
      </c>
      <c r="M8" s="46">
        <f>'Fin Statements'!M58-'Fin Statements'!L58</f>
        <v>21017.610000000044</v>
      </c>
      <c r="N8" s="46">
        <f>'Fin Statements'!N58-'Fin Statements'!M58</f>
        <v>0</v>
      </c>
      <c r="O8" s="46">
        <f>'Fin Statements'!O58-'Fin Statements'!N58</f>
        <v>0</v>
      </c>
      <c r="P8" s="46">
        <f>'Fin Statements'!P58-'Fin Statements'!O58</f>
        <v>22068.490499999956</v>
      </c>
      <c r="Q8" s="46">
        <f>'Fin Statements'!Q58-'Fin Statements'!P58</f>
        <v>0</v>
      </c>
      <c r="R8" s="46">
        <f>'Fin Statements'!R58-'Fin Statements'!Q58</f>
        <v>0</v>
      </c>
    </row>
    <row r="9" spans="1:36" x14ac:dyDescent="0.25">
      <c r="E9" s="49" t="s">
        <v>185</v>
      </c>
      <c r="J9" s="46">
        <f>'Fin Statements'!J57-'Fin Statements'!I57</f>
        <v>82147.820000000007</v>
      </c>
      <c r="K9" s="46">
        <f>'Fin Statements'!K57-'Fin Statements'!J57</f>
        <v>0</v>
      </c>
      <c r="L9" s="46">
        <f>'Fin Statements'!L57-'Fin Statements'!K57</f>
        <v>0</v>
      </c>
      <c r="M9" s="46">
        <f>'Fin Statements'!M57-'Fin Statements'!L57</f>
        <v>30634.066000000006</v>
      </c>
      <c r="N9" s="46">
        <f>'Fin Statements'!N57-'Fin Statements'!M57</f>
        <v>0</v>
      </c>
      <c r="O9" s="46">
        <f>'Fin Statements'!O57-'Fin Statements'!N57</f>
        <v>0</v>
      </c>
      <c r="P9" s="46">
        <f>'Fin Statements'!P57-'Fin Statements'!O57</f>
        <v>5639.094299999997</v>
      </c>
      <c r="Q9" s="46">
        <f>'Fin Statements'!Q57-'Fin Statements'!P57</f>
        <v>0</v>
      </c>
      <c r="R9" s="46">
        <f>'Fin Statements'!R57-'Fin Statements'!Q57</f>
        <v>0</v>
      </c>
    </row>
    <row r="10" spans="1:36" x14ac:dyDescent="0.25">
      <c r="E10" s="49" t="s">
        <v>186</v>
      </c>
      <c r="J10" s="46">
        <f>'Fin Statements'!J64-'Fin Statements'!I64</f>
        <v>246443.45999999996</v>
      </c>
      <c r="K10" s="46">
        <f>'Fin Statements'!K64-'Fin Statements'!J64</f>
        <v>0</v>
      </c>
      <c r="L10" s="46">
        <f>'Fin Statements'!L64-'Fin Statements'!K64</f>
        <v>0</v>
      </c>
      <c r="M10" s="46">
        <f>'Fin Statements'!M64-'Fin Statements'!L64</f>
        <v>91902.198000000033</v>
      </c>
      <c r="N10" s="46">
        <f>'Fin Statements'!N64-'Fin Statements'!M64</f>
        <v>0</v>
      </c>
      <c r="O10" s="46">
        <f>'Fin Statements'!O64-'Fin Statements'!N64</f>
        <v>0</v>
      </c>
      <c r="P10" s="46">
        <f>'Fin Statements'!P64-'Fin Statements'!O64</f>
        <v>16917.282899999991</v>
      </c>
      <c r="Q10" s="46">
        <f>'Fin Statements'!Q64-'Fin Statements'!P64</f>
        <v>0</v>
      </c>
      <c r="R10" s="46">
        <f>'Fin Statements'!R64-'Fin Statements'!Q64</f>
        <v>0</v>
      </c>
    </row>
    <row r="11" spans="1:36" s="50" customFormat="1" x14ac:dyDescent="0.25">
      <c r="E11" s="51" t="s">
        <v>199</v>
      </c>
      <c r="J11" s="55">
        <f>J8+J9-J10</f>
        <v>256056.56000000006</v>
      </c>
      <c r="K11" s="55">
        <f t="shared" ref="K11:R11" si="0">K8+K9-K10</f>
        <v>0</v>
      </c>
      <c r="L11" s="55">
        <f t="shared" si="0"/>
        <v>0</v>
      </c>
      <c r="M11" s="55">
        <f t="shared" si="0"/>
        <v>-40250.521999999983</v>
      </c>
      <c r="N11" s="55">
        <f t="shared" si="0"/>
        <v>0</v>
      </c>
      <c r="O11" s="55">
        <f t="shared" si="0"/>
        <v>0</v>
      </c>
      <c r="P11" s="55">
        <f t="shared" si="0"/>
        <v>10790.301899999962</v>
      </c>
      <c r="Q11" s="55">
        <f t="shared" si="0"/>
        <v>0</v>
      </c>
      <c r="R11" s="55">
        <f t="shared" si="0"/>
        <v>0</v>
      </c>
    </row>
    <row r="13" spans="1:36" x14ac:dyDescent="0.25">
      <c r="B13" s="47" t="s">
        <v>191</v>
      </c>
      <c r="J13" s="46">
        <v>7</v>
      </c>
      <c r="K13" s="46">
        <v>6</v>
      </c>
      <c r="L13" s="46">
        <v>5</v>
      </c>
      <c r="M13" s="46">
        <v>4</v>
      </c>
      <c r="N13" s="46">
        <v>3</v>
      </c>
      <c r="O13" s="46">
        <v>2</v>
      </c>
      <c r="P13" s="46">
        <v>1</v>
      </c>
    </row>
    <row r="14" spans="1:36" x14ac:dyDescent="0.25">
      <c r="E14" s="49" t="s">
        <v>192</v>
      </c>
      <c r="J14" s="56">
        <f>G42</f>
        <v>9000000</v>
      </c>
      <c r="K14" s="46">
        <f>J19</f>
        <v>7714285.7142857146</v>
      </c>
      <c r="L14" s="46">
        <f t="shared" ref="L14:P14" si="1">K19</f>
        <v>6428571.4285714291</v>
      </c>
      <c r="M14" s="46">
        <f t="shared" si="1"/>
        <v>5142857.1428571437</v>
      </c>
      <c r="N14" s="46">
        <f t="shared" si="1"/>
        <v>3857142.8571428577</v>
      </c>
      <c r="O14" s="46">
        <f t="shared" si="1"/>
        <v>2571428.5714285718</v>
      </c>
      <c r="P14" s="46">
        <f t="shared" si="1"/>
        <v>1285714.2857142859</v>
      </c>
      <c r="Q14" s="46">
        <f t="shared" ref="Q14:R14" si="2">P19</f>
        <v>0</v>
      </c>
      <c r="R14" s="46">
        <f t="shared" si="2"/>
        <v>0</v>
      </c>
    </row>
    <row r="15" spans="1:36" x14ac:dyDescent="0.25">
      <c r="E15" s="49" t="s">
        <v>193</v>
      </c>
    </row>
    <row r="16" spans="1:36" x14ac:dyDescent="0.25">
      <c r="E16" s="49" t="s">
        <v>204</v>
      </c>
      <c r="G16" s="47">
        <v>7.0000000000000007E-2</v>
      </c>
      <c r="J16" s="46">
        <f>$G$16*J14</f>
        <v>630000.00000000012</v>
      </c>
      <c r="K16" s="46">
        <f>$G$16*K14</f>
        <v>540000.00000000012</v>
      </c>
      <c r="L16" s="46">
        <f t="shared" ref="L16:P16" si="3">$G$16*L14</f>
        <v>450000.00000000006</v>
      </c>
      <c r="M16" s="46">
        <f t="shared" si="3"/>
        <v>360000.00000000012</v>
      </c>
      <c r="N16" s="46">
        <f t="shared" si="3"/>
        <v>270000.00000000006</v>
      </c>
      <c r="O16" s="46">
        <f t="shared" si="3"/>
        <v>180000.00000000006</v>
      </c>
      <c r="P16" s="46">
        <f t="shared" si="3"/>
        <v>90000.000000000029</v>
      </c>
      <c r="Q16" s="46">
        <f t="shared" ref="Q16:R16" si="4">$G$16*Q14</f>
        <v>0</v>
      </c>
      <c r="R16" s="46">
        <f t="shared" si="4"/>
        <v>0</v>
      </c>
    </row>
    <row r="17" spans="2:18" x14ac:dyDescent="0.25">
      <c r="E17" s="49" t="s">
        <v>189</v>
      </c>
      <c r="J17" s="46">
        <f>-J16</f>
        <v>-630000.00000000012</v>
      </c>
      <c r="K17" s="46">
        <f>-K16</f>
        <v>-540000.00000000012</v>
      </c>
      <c r="L17" s="46">
        <f t="shared" ref="L17:P17" si="5">-L16</f>
        <v>-450000.00000000006</v>
      </c>
      <c r="M17" s="46">
        <f t="shared" si="5"/>
        <v>-360000.00000000012</v>
      </c>
      <c r="N17" s="46">
        <f t="shared" si="5"/>
        <v>-270000.00000000006</v>
      </c>
      <c r="O17" s="46">
        <f t="shared" si="5"/>
        <v>-180000.00000000006</v>
      </c>
      <c r="P17" s="46">
        <f t="shared" si="5"/>
        <v>-90000.000000000029</v>
      </c>
      <c r="Q17" s="46">
        <f t="shared" ref="Q17" si="6">-Q16</f>
        <v>0</v>
      </c>
      <c r="R17" s="46">
        <f t="shared" ref="R17" si="7">-R16</f>
        <v>0</v>
      </c>
    </row>
    <row r="18" spans="2:18" x14ac:dyDescent="0.25">
      <c r="E18" s="49" t="s">
        <v>202</v>
      </c>
      <c r="G18" s="47">
        <v>7</v>
      </c>
      <c r="H18" s="47" t="s">
        <v>203</v>
      </c>
      <c r="J18" s="46">
        <f>-J14/J$13</f>
        <v>-1285714.2857142857</v>
      </c>
      <c r="K18" s="46">
        <f>-K14/K$13</f>
        <v>-1285714.2857142857</v>
      </c>
      <c r="L18" s="46">
        <f t="shared" ref="L18:P18" si="8">-L14/L$13</f>
        <v>-1285714.2857142859</v>
      </c>
      <c r="M18" s="46">
        <f t="shared" si="8"/>
        <v>-1285714.2857142859</v>
      </c>
      <c r="N18" s="46">
        <f t="shared" si="8"/>
        <v>-1285714.2857142859</v>
      </c>
      <c r="O18" s="46">
        <f t="shared" si="8"/>
        <v>-1285714.2857142859</v>
      </c>
      <c r="P18" s="46">
        <f t="shared" si="8"/>
        <v>-1285714.2857142859</v>
      </c>
      <c r="Q18" s="46" t="str">
        <f>IFERROR(-Q14/Q$13,"-")</f>
        <v>-</v>
      </c>
      <c r="R18" s="46" t="str">
        <f>IFERROR(-R14/R$13,"-")</f>
        <v>-</v>
      </c>
    </row>
    <row r="19" spans="2:18" x14ac:dyDescent="0.25">
      <c r="E19" s="49" t="s">
        <v>194</v>
      </c>
      <c r="J19" s="46">
        <f>SUM(J14:J18)</f>
        <v>7714285.7142857146</v>
      </c>
      <c r="K19" s="46">
        <f>SUM(K14:K18)</f>
        <v>6428571.4285714291</v>
      </c>
      <c r="L19" s="46">
        <f t="shared" ref="L19:P19" si="9">SUM(L14:L18)</f>
        <v>5142857.1428571437</v>
      </c>
      <c r="M19" s="46">
        <f t="shared" si="9"/>
        <v>3857142.8571428577</v>
      </c>
      <c r="N19" s="46">
        <f t="shared" si="9"/>
        <v>2571428.5714285718</v>
      </c>
      <c r="O19" s="46">
        <f t="shared" si="9"/>
        <v>1285714.2857142859</v>
      </c>
      <c r="P19" s="46">
        <f t="shared" si="9"/>
        <v>0</v>
      </c>
      <c r="Q19" s="46">
        <f t="shared" ref="Q19" si="10">SUM(Q14:Q18)</f>
        <v>0</v>
      </c>
      <c r="R19" s="46">
        <f t="shared" ref="R19" si="11">SUM(R14:R18)</f>
        <v>0</v>
      </c>
    </row>
    <row r="22" spans="2:18" x14ac:dyDescent="0.25">
      <c r="B22" s="47" t="s">
        <v>195</v>
      </c>
    </row>
    <row r="23" spans="2:18" x14ac:dyDescent="0.25">
      <c r="E23" s="49" t="s">
        <v>196</v>
      </c>
      <c r="J23" s="46">
        <f>I26</f>
        <v>0</v>
      </c>
      <c r="K23" s="46">
        <f t="shared" ref="K23:M23" ca="1" si="12">J26</f>
        <v>0</v>
      </c>
      <c r="L23" s="46">
        <f t="shared" ca="1" si="12"/>
        <v>0</v>
      </c>
      <c r="M23" s="46">
        <f t="shared" ca="1" si="12"/>
        <v>0</v>
      </c>
      <c r="N23" s="46">
        <f t="shared" ref="N23:R23" ca="1" si="13">M26</f>
        <v>0</v>
      </c>
      <c r="O23" s="46">
        <f t="shared" ca="1" si="13"/>
        <v>0</v>
      </c>
      <c r="P23" s="46">
        <f t="shared" ca="1" si="13"/>
        <v>0</v>
      </c>
      <c r="Q23" s="46">
        <f t="shared" ca="1" si="13"/>
        <v>0</v>
      </c>
      <c r="R23" s="46">
        <f t="shared" ca="1" si="13"/>
        <v>0</v>
      </c>
    </row>
    <row r="24" spans="2:18" x14ac:dyDescent="0.25">
      <c r="E24" s="49" t="s">
        <v>197</v>
      </c>
      <c r="J24" s="56">
        <f ca="1">-'Fin Statements'!J47</f>
        <v>151336.49999999997</v>
      </c>
      <c r="K24" s="56">
        <f ca="1">-'Fin Statements'!K47</f>
        <v>23983.292500000069</v>
      </c>
      <c r="L24" s="56">
        <f ca="1">-'Fin Statements'!L47</f>
        <v>85987.487124999854</v>
      </c>
      <c r="M24" s="56">
        <f ca="1">-'Fin Statements'!M47</f>
        <v>149966.89148125015</v>
      </c>
      <c r="N24" s="56">
        <f ca="1">-'Fin Statements'!N47</f>
        <v>216020.26605531259</v>
      </c>
      <c r="O24" s="56">
        <f ca="1">-'Fin Statements'!O47</f>
        <v>284251.30935807771</v>
      </c>
      <c r="P24" s="56">
        <f ca="1">-'Fin Statements'!P47</f>
        <v>354768.90482598252</v>
      </c>
      <c r="Q24" s="56">
        <f ca="1">-'Fin Statements'!Q47</f>
        <v>427687.38006728061</v>
      </c>
      <c r="R24" s="56">
        <f ca="1">-'Fin Statements'!R47</f>
        <v>480626.77907064592</v>
      </c>
    </row>
    <row r="25" spans="2:18" x14ac:dyDescent="0.25">
      <c r="E25" s="49" t="s">
        <v>187</v>
      </c>
      <c r="J25" s="46">
        <f ca="1">-J24</f>
        <v>-151336.49999999997</v>
      </c>
      <c r="K25" s="46">
        <f t="shared" ref="K25:M25" ca="1" si="14">-K24</f>
        <v>-23983.292500000069</v>
      </c>
      <c r="L25" s="46">
        <f t="shared" ca="1" si="14"/>
        <v>-85987.487124999854</v>
      </c>
      <c r="M25" s="46">
        <f t="shared" ca="1" si="14"/>
        <v>-149966.89148125015</v>
      </c>
      <c r="N25" s="46">
        <f t="shared" ref="N25" ca="1" si="15">-N24</f>
        <v>-216020.26605531259</v>
      </c>
      <c r="O25" s="46">
        <f t="shared" ref="O25:P25" ca="1" si="16">-O24</f>
        <v>-284251.30935807771</v>
      </c>
      <c r="P25" s="46">
        <f t="shared" ca="1" si="16"/>
        <v>-354768.90482598252</v>
      </c>
      <c r="Q25" s="46">
        <f t="shared" ref="Q25" ca="1" si="17">-Q24</f>
        <v>-427687.38006728061</v>
      </c>
      <c r="R25" s="46">
        <f t="shared" ref="R25" ca="1" si="18">-R24</f>
        <v>-480626.77907064592</v>
      </c>
    </row>
    <row r="26" spans="2:18" x14ac:dyDescent="0.25">
      <c r="E26" s="49" t="s">
        <v>198</v>
      </c>
      <c r="J26" s="46">
        <f ca="1">J23+J24+J25</f>
        <v>0</v>
      </c>
      <c r="K26" s="46">
        <f t="shared" ref="K26:M26" ca="1" si="19">K23+K24+K25</f>
        <v>0</v>
      </c>
      <c r="L26" s="46">
        <f t="shared" ca="1" si="19"/>
        <v>0</v>
      </c>
      <c r="M26" s="46">
        <f t="shared" ca="1" si="19"/>
        <v>0</v>
      </c>
      <c r="N26" s="46">
        <f t="shared" ref="N26" ca="1" si="20">N23+N24+N25</f>
        <v>0</v>
      </c>
      <c r="O26" s="46">
        <f t="shared" ref="O26:P26" ca="1" si="21">O23+O24+O25</f>
        <v>0</v>
      </c>
      <c r="P26" s="46">
        <f t="shared" ca="1" si="21"/>
        <v>0</v>
      </c>
      <c r="Q26" s="46">
        <f t="shared" ref="Q26" ca="1" si="22">Q23+Q24+Q25</f>
        <v>0</v>
      </c>
      <c r="R26" s="46">
        <f t="shared" ref="R26" ca="1" si="23">R23+R24+R25</f>
        <v>0</v>
      </c>
    </row>
    <row r="28" spans="2:18" x14ac:dyDescent="0.25">
      <c r="B28" s="47" t="s">
        <v>205</v>
      </c>
    </row>
    <row r="29" spans="2:18" x14ac:dyDescent="0.25">
      <c r="E29" s="49" t="s">
        <v>206</v>
      </c>
      <c r="J29" s="46">
        <f>I32</f>
        <v>0</v>
      </c>
      <c r="K29" s="46">
        <f t="shared" ref="K29:R29" ca="1" si="24">J32</f>
        <v>0</v>
      </c>
      <c r="L29" s="46">
        <f t="shared" ca="1" si="24"/>
        <v>0</v>
      </c>
      <c r="M29" s="46">
        <f t="shared" ca="1" si="24"/>
        <v>0</v>
      </c>
      <c r="N29" s="46">
        <f t="shared" ca="1" si="24"/>
        <v>0</v>
      </c>
      <c r="O29" s="46">
        <f t="shared" ca="1" si="24"/>
        <v>0</v>
      </c>
      <c r="P29" s="46">
        <f t="shared" ca="1" si="24"/>
        <v>0</v>
      </c>
      <c r="Q29" s="46">
        <f t="shared" ca="1" si="24"/>
        <v>0</v>
      </c>
      <c r="R29" s="46">
        <f t="shared" ca="1" si="24"/>
        <v>0</v>
      </c>
    </row>
    <row r="30" spans="2:18" x14ac:dyDescent="0.25">
      <c r="E30" s="49" t="s">
        <v>207</v>
      </c>
      <c r="F30" s="47">
        <v>0.02</v>
      </c>
      <c r="J30" s="46">
        <f ca="1">$F$30*'Fin Statements'!J48</f>
        <v>9080.1899999999987</v>
      </c>
      <c r="K30" s="46">
        <f ca="1">$F$30*'Fin Statements'!K48</f>
        <v>1438.9975500000041</v>
      </c>
      <c r="L30" s="46">
        <f ca="1">$F$30*'Fin Statements'!L48</f>
        <v>5159.2492274999913</v>
      </c>
      <c r="M30" s="46">
        <f ca="1">$F$30*'Fin Statements'!M48</f>
        <v>8998.013488875009</v>
      </c>
      <c r="N30" s="46">
        <f ca="1">$F$30*'Fin Statements'!N48</f>
        <v>12961.215963318755</v>
      </c>
      <c r="O30" s="46">
        <f ca="1">$F$30*'Fin Statements'!O48</f>
        <v>17055.078561484661</v>
      </c>
      <c r="P30" s="46">
        <f ca="1">$F$30*'Fin Statements'!P48</f>
        <v>21286.134289558948</v>
      </c>
      <c r="Q30" s="46">
        <f ca="1">$F$30*'Fin Statements'!Q48</f>
        <v>25661.24280403684</v>
      </c>
      <c r="R30" s="46">
        <f ca="1">$F$30*'Fin Statements'!R48</f>
        <v>28837.606744238754</v>
      </c>
    </row>
    <row r="31" spans="2:18" x14ac:dyDescent="0.25">
      <c r="E31" s="49" t="s">
        <v>208</v>
      </c>
      <c r="J31" s="46">
        <f ca="1">-J30</f>
        <v>-9080.1899999999987</v>
      </c>
      <c r="K31" s="46">
        <f t="shared" ref="K31:R31" ca="1" si="25">-K30</f>
        <v>-1438.9975500000041</v>
      </c>
      <c r="L31" s="46">
        <f t="shared" ca="1" si="25"/>
        <v>-5159.2492274999913</v>
      </c>
      <c r="M31" s="46">
        <f t="shared" ca="1" si="25"/>
        <v>-8998.013488875009</v>
      </c>
      <c r="N31" s="46">
        <f t="shared" ca="1" si="25"/>
        <v>-12961.215963318755</v>
      </c>
      <c r="O31" s="46">
        <f t="shared" ca="1" si="25"/>
        <v>-17055.078561484661</v>
      </c>
      <c r="P31" s="46">
        <f t="shared" ca="1" si="25"/>
        <v>-21286.134289558948</v>
      </c>
      <c r="Q31" s="46">
        <f t="shared" ca="1" si="25"/>
        <v>-25661.24280403684</v>
      </c>
      <c r="R31" s="46">
        <f t="shared" ca="1" si="25"/>
        <v>-28837.606744238754</v>
      </c>
    </row>
    <row r="32" spans="2:18" x14ac:dyDescent="0.25">
      <c r="E32" s="49" t="s">
        <v>209</v>
      </c>
      <c r="J32" s="46">
        <f ca="1">SUM(J29:J31)</f>
        <v>0</v>
      </c>
      <c r="K32" s="46">
        <f t="shared" ref="K32:R32" ca="1" si="26">SUM(K29:K31)</f>
        <v>0</v>
      </c>
      <c r="L32" s="46">
        <f t="shared" ca="1" si="26"/>
        <v>0</v>
      </c>
      <c r="M32" s="46">
        <f t="shared" ca="1" si="26"/>
        <v>0</v>
      </c>
      <c r="N32" s="46">
        <f t="shared" ca="1" si="26"/>
        <v>0</v>
      </c>
      <c r="O32" s="46">
        <f t="shared" ca="1" si="26"/>
        <v>0</v>
      </c>
      <c r="P32" s="46">
        <f t="shared" ca="1" si="26"/>
        <v>0</v>
      </c>
      <c r="Q32" s="46">
        <f t="shared" ca="1" si="26"/>
        <v>0</v>
      </c>
      <c r="R32" s="46">
        <f t="shared" ca="1" si="26"/>
        <v>0</v>
      </c>
    </row>
    <row r="34" spans="2:18" x14ac:dyDescent="0.25">
      <c r="B34" s="47" t="s">
        <v>147</v>
      </c>
    </row>
    <row r="35" spans="2:18" x14ac:dyDescent="0.25">
      <c r="E35" s="49" t="s">
        <v>211</v>
      </c>
      <c r="J35" s="46">
        <f>I38</f>
        <v>0</v>
      </c>
      <c r="K35" s="46">
        <f t="shared" ref="K35:R35" ca="1" si="27">J38</f>
        <v>444929.30999999988</v>
      </c>
      <c r="L35" s="46">
        <f t="shared" ca="1" si="27"/>
        <v>515440.18995000009</v>
      </c>
      <c r="M35" s="46">
        <f t="shared" ca="1" si="27"/>
        <v>768243.4020974997</v>
      </c>
      <c r="N35" s="46">
        <f t="shared" ca="1" si="27"/>
        <v>1209146.0630523751</v>
      </c>
      <c r="O35" s="46">
        <f t="shared" ca="1" si="27"/>
        <v>1844245.645254994</v>
      </c>
      <c r="P35" s="46">
        <f t="shared" ca="1" si="27"/>
        <v>2679944.4947677422</v>
      </c>
      <c r="Q35" s="46">
        <f t="shared" ca="1" si="27"/>
        <v>3722965.0749561307</v>
      </c>
      <c r="R35" s="46">
        <f t="shared" ca="1" si="27"/>
        <v>4980365.9723539362</v>
      </c>
    </row>
    <row r="36" spans="2:18" x14ac:dyDescent="0.25">
      <c r="E36" s="49" t="s">
        <v>212</v>
      </c>
      <c r="J36" s="56">
        <f ca="1">'Fin Statements'!J48</f>
        <v>454009.49999999988</v>
      </c>
      <c r="K36" s="56">
        <f ca="1">'Fin Statements'!K48</f>
        <v>71949.877500000206</v>
      </c>
      <c r="L36" s="56">
        <f ca="1">'Fin Statements'!L48</f>
        <v>257962.46137499955</v>
      </c>
      <c r="M36" s="56">
        <f ca="1">'Fin Statements'!M48</f>
        <v>449900.67444375041</v>
      </c>
      <c r="N36" s="56">
        <f ca="1">'Fin Statements'!N48</f>
        <v>648060.79816593777</v>
      </c>
      <c r="O36" s="56">
        <f ca="1">'Fin Statements'!O48</f>
        <v>852753.92807423312</v>
      </c>
      <c r="P36" s="56">
        <f ca="1">'Fin Statements'!P48</f>
        <v>1064306.7144779474</v>
      </c>
      <c r="Q36" s="56">
        <f ca="1">'Fin Statements'!Q48</f>
        <v>1283062.1402018419</v>
      </c>
      <c r="R36" s="56">
        <f ca="1">'Fin Statements'!R48</f>
        <v>1441880.3372119376</v>
      </c>
    </row>
    <row r="37" spans="2:18" x14ac:dyDescent="0.25">
      <c r="E37" s="49" t="s">
        <v>208</v>
      </c>
      <c r="J37" s="46">
        <f ca="1">J31</f>
        <v>-9080.1899999999987</v>
      </c>
      <c r="K37" s="46">
        <f t="shared" ref="K37:R37" ca="1" si="28">K31</f>
        <v>-1438.9975500000041</v>
      </c>
      <c r="L37" s="46">
        <f t="shared" ca="1" si="28"/>
        <v>-5159.2492274999913</v>
      </c>
      <c r="M37" s="46">
        <f t="shared" ca="1" si="28"/>
        <v>-8998.013488875009</v>
      </c>
      <c r="N37" s="46">
        <f t="shared" ca="1" si="28"/>
        <v>-12961.215963318755</v>
      </c>
      <c r="O37" s="46">
        <f t="shared" ca="1" si="28"/>
        <v>-17055.078561484661</v>
      </c>
      <c r="P37" s="46">
        <f t="shared" ca="1" si="28"/>
        <v>-21286.134289558948</v>
      </c>
      <c r="Q37" s="46">
        <f t="shared" ca="1" si="28"/>
        <v>-25661.24280403684</v>
      </c>
      <c r="R37" s="46">
        <f t="shared" ca="1" si="28"/>
        <v>-28837.606744238754</v>
      </c>
    </row>
    <row r="38" spans="2:18" x14ac:dyDescent="0.25">
      <c r="E38" s="49" t="s">
        <v>213</v>
      </c>
      <c r="J38" s="46">
        <f ca="1">SUM(J35:J37)</f>
        <v>444929.30999999988</v>
      </c>
      <c r="K38" s="46">
        <f t="shared" ref="K38:R38" ca="1" si="29">SUM(K35:K37)</f>
        <v>515440.18995000009</v>
      </c>
      <c r="L38" s="46">
        <f t="shared" ca="1" si="29"/>
        <v>768243.4020974997</v>
      </c>
      <c r="M38" s="46">
        <f t="shared" ca="1" si="29"/>
        <v>1209146.0630523751</v>
      </c>
      <c r="N38" s="46">
        <f t="shared" ca="1" si="29"/>
        <v>1844245.645254994</v>
      </c>
      <c r="O38" s="46">
        <f t="shared" ca="1" si="29"/>
        <v>2679944.4947677422</v>
      </c>
      <c r="P38" s="46">
        <f t="shared" ca="1" si="29"/>
        <v>3722965.0749561307</v>
      </c>
      <c r="Q38" s="46">
        <f t="shared" ca="1" si="29"/>
        <v>4980365.9723539362</v>
      </c>
      <c r="R38" s="46">
        <f t="shared" ca="1" si="29"/>
        <v>6393408.7028216347</v>
      </c>
    </row>
    <row r="40" spans="2:18" x14ac:dyDescent="0.25">
      <c r="E40" s="49" t="str">
        <f>Input!A6</f>
        <v>Capital Needed</v>
      </c>
      <c r="F40" s="57">
        <f>Input!B6</f>
        <v>30000000</v>
      </c>
    </row>
    <row r="41" spans="2:18" x14ac:dyDescent="0.25">
      <c r="E41" s="49" t="str">
        <f>Input!A7</f>
        <v>Equity</v>
      </c>
      <c r="F41" s="57">
        <f>Input!B7</f>
        <v>0.7</v>
      </c>
      <c r="G41" s="47">
        <f>$F$40*F41</f>
        <v>21000000</v>
      </c>
    </row>
    <row r="42" spans="2:18" x14ac:dyDescent="0.25">
      <c r="E42" s="49" t="str">
        <f>Input!A8</f>
        <v>Debt</v>
      </c>
      <c r="F42" s="57">
        <f>Input!B8</f>
        <v>0.3</v>
      </c>
      <c r="G42" s="47">
        <f>$F$40*F42</f>
        <v>9000000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AA161-7B82-47C2-9A19-D4C8591842D3}">
  <sheetPr>
    <tabColor theme="3" tint="0.749992370372631"/>
  </sheetPr>
  <dimension ref="A1:X45"/>
  <sheetViews>
    <sheetView showGridLines="0" tabSelected="1" workbookViewId="0"/>
  </sheetViews>
  <sheetFormatPr defaultRowHeight="15" x14ac:dyDescent="0.25"/>
  <cols>
    <col min="1" max="1" width="13.42578125" bestFit="1" customWidth="1"/>
    <col min="2" max="4" width="20.85546875" bestFit="1" customWidth="1"/>
    <col min="5" max="5" width="26" customWidth="1"/>
    <col min="6" max="6" width="14.85546875" customWidth="1"/>
    <col min="7" max="8" width="14.28515625" bestFit="1" customWidth="1"/>
    <col min="9" max="10" width="15.140625" customWidth="1"/>
    <col min="11" max="11" width="18.85546875" customWidth="1"/>
    <col min="12" max="12" width="19" customWidth="1"/>
    <col min="13" max="13" width="22.140625" customWidth="1"/>
    <col min="14" max="14" width="23.140625" customWidth="1"/>
    <col min="15" max="15" width="13.85546875" customWidth="1"/>
    <col min="16" max="16" width="20.42578125" customWidth="1"/>
    <col min="17" max="17" width="26" customWidth="1"/>
    <col min="18" max="18" width="15.28515625" customWidth="1"/>
    <col min="19" max="19" width="22" customWidth="1"/>
    <col min="20" max="21" width="11" customWidth="1"/>
    <col min="22" max="22" width="16.7109375" customWidth="1"/>
    <col min="23" max="23" width="21.42578125" customWidth="1"/>
    <col min="24" max="24" width="24.28515625" customWidth="1"/>
  </cols>
  <sheetData>
    <row r="1" spans="1:24" x14ac:dyDescent="0.25">
      <c r="A1" s="87" t="s">
        <v>216</v>
      </c>
      <c r="B1" s="87" t="s">
        <v>99</v>
      </c>
      <c r="C1" s="87" t="s">
        <v>113</v>
      </c>
      <c r="D1" s="87" t="s">
        <v>135</v>
      </c>
      <c r="E1" s="87" t="s">
        <v>114</v>
      </c>
      <c r="F1" s="87" t="s">
        <v>175</v>
      </c>
      <c r="G1" s="87" t="s">
        <v>177</v>
      </c>
      <c r="H1" s="87" t="s">
        <v>176</v>
      </c>
      <c r="I1" s="87" t="s">
        <v>217</v>
      </c>
      <c r="J1" s="87" t="s">
        <v>103</v>
      </c>
      <c r="K1" s="87" t="s">
        <v>104</v>
      </c>
      <c r="L1" s="87" t="s">
        <v>105</v>
      </c>
      <c r="M1" s="87" t="s">
        <v>106</v>
      </c>
      <c r="N1" s="87" t="s">
        <v>107</v>
      </c>
      <c r="O1" s="87" t="s">
        <v>108</v>
      </c>
      <c r="P1" s="87" t="s">
        <v>112</v>
      </c>
      <c r="Q1" s="87" t="s">
        <v>109</v>
      </c>
      <c r="R1" s="87" t="s">
        <v>110</v>
      </c>
      <c r="S1" s="88" t="s">
        <v>111</v>
      </c>
      <c r="T1" s="88" t="s">
        <v>215</v>
      </c>
      <c r="U1" s="88" t="s">
        <v>146</v>
      </c>
      <c r="V1" s="88" t="s">
        <v>144</v>
      </c>
      <c r="W1" s="88" t="s">
        <v>152</v>
      </c>
      <c r="X1" s="87" t="s">
        <v>170</v>
      </c>
    </row>
    <row r="2" spans="1:24" x14ac:dyDescent="0.25">
      <c r="A2" s="85">
        <v>45536</v>
      </c>
      <c r="B2" s="69">
        <f>_xlfn.XLOOKUP(B$1,'Fin Statements'!$E$25:$E$93,'Fin Statements'!J$25:J$93,"-",0)</f>
        <v>6305283</v>
      </c>
      <c r="C2" s="69">
        <f>-_xlfn.XLOOKUP(C$1,'Fin Statements'!$E$25:$E$93,'Fin Statements'!J$25:J$93,"-",0)</f>
        <v>2464434.5999999996</v>
      </c>
      <c r="D2" s="90">
        <f>_xlfn.XLOOKUP(D$1,'Fin Statements'!$E$25:$E$93,'Fin Statements'!J$25:J$93,"-",0)</f>
        <v>3840848.4000000004</v>
      </c>
      <c r="E2" s="90">
        <f>-_xlfn.XLOOKUP(E$1,'Fin Statements'!$E$25:$E$93,'Fin Statements'!J$25:J$93,"-",0)</f>
        <v>81100.000000000015</v>
      </c>
      <c r="F2" s="90">
        <f ca="1">_xlfn.XLOOKUP(F$1,'Fin Statements'!$E$25:$E$93,'Fin Statements'!J$25:J$93,"-",0)</f>
        <v>454009.49999999988</v>
      </c>
      <c r="G2" s="70">
        <f>_xlfn.XLOOKUP(G$1,'Fin Statements'!$E$25:$E$93,'Fin Statements'!J$25:J$93,"-",0)</f>
        <v>0.60914766236503581</v>
      </c>
      <c r="H2" s="70">
        <f ca="1">_xlfn.XLOOKUP(H$1,'Fin Statements'!$E$25:$E$93,'Fin Statements'!J$25:J$93,"-",0)</f>
        <v>7.2004618983794996E-2</v>
      </c>
      <c r="I2" s="69">
        <f>_xlfn.XLOOKUP(I$1,'Fin Statements'!$E$25:$E$93,'Fin Statements'!J$25:J$93,"-",0)</f>
        <v>1450995</v>
      </c>
      <c r="J2" s="69">
        <f>_xlfn.XLOOKUP(J$1,'Fin Statements'!$E$25:$E$93,'Fin Statements'!J$25:J$93,"-",0)</f>
        <v>323190</v>
      </c>
      <c r="K2" s="69">
        <f>_xlfn.XLOOKUP(K$1,'Fin Statements'!$E$25:$E$93,'Fin Statements'!J$25:J$93,"-",0)</f>
        <v>151923.60000000003</v>
      </c>
      <c r="L2" s="69">
        <f>_xlfn.XLOOKUP(L$1,'Fin Statements'!$E$25:$E$93,'Fin Statements'!J$25:J$93,"-",0)</f>
        <v>4617</v>
      </c>
      <c r="M2" s="69">
        <f>_xlfn.XLOOKUP(M$1,'Fin Statements'!$E$25:$E$93,'Fin Statements'!J$25:J$93,"-",0)</f>
        <v>13235.399999999994</v>
      </c>
      <c r="N2" s="69">
        <f>_xlfn.XLOOKUP(N$1,'Fin Statements'!$E$25:$E$93,'Fin Statements'!J$25:J$93,"-",0)</f>
        <v>15390</v>
      </c>
      <c r="O2" s="69">
        <f>_xlfn.XLOOKUP(O$1,'Fin Statements'!$E$25:$E$93,'Fin Statements'!J$25:J$93,"-",0)</f>
        <v>13235.399999999994</v>
      </c>
      <c r="P2" s="69">
        <f>_xlfn.XLOOKUP(P$1,'Fin Statements'!$E$25:$E$93,'Fin Statements'!J$25:J$93,"-",0)</f>
        <v>32011.200000000012</v>
      </c>
      <c r="Q2" s="69">
        <f>_xlfn.XLOOKUP(Q$1,'Fin Statements'!$E$25:$E$93,'Fin Statements'!J$25:J$93,"-",0)</f>
        <v>38475</v>
      </c>
      <c r="R2" s="69">
        <f>_xlfn.XLOOKUP(R$1,'Fin Statements'!$E$25:$E$93,'Fin Statements'!J$25:J$93,"-",0)</f>
        <v>372114</v>
      </c>
      <c r="S2" s="71">
        <f>_xlfn.XLOOKUP(S$1,'Fin Statements'!$E$25:$E$93,'Fin Statements'!J$25:J$93,"-",0)</f>
        <v>49248</v>
      </c>
      <c r="T2" s="71">
        <f ca="1">'Fin Statements'!J56</f>
        <v>6183536.8642857112</v>
      </c>
      <c r="U2" s="71">
        <f>'Fin Statements'!J71</f>
        <v>21000000</v>
      </c>
      <c r="V2" s="71">
        <f>'Fin Statements'!J66</f>
        <v>7714285.7142857146</v>
      </c>
      <c r="W2" s="71">
        <f ca="1">'Fin Statements'!J59</f>
        <v>6686036.8842857117</v>
      </c>
      <c r="X2" s="69">
        <f>'Fin Statements'!J65</f>
        <v>246443.45999999996</v>
      </c>
    </row>
    <row r="3" spans="1:24" x14ac:dyDescent="0.25">
      <c r="A3" s="86">
        <v>45901</v>
      </c>
      <c r="B3" s="72">
        <f>_xlfn.XLOOKUP(B$1,'Fin Statements'!$E$25:$E$93,'Fin Statements'!K$25:K$93,"-",0)</f>
        <v>6620547.1500000004</v>
      </c>
      <c r="C3" s="72">
        <f>-_xlfn.XLOOKUP(C$1,'Fin Statements'!$E$25:$E$93,'Fin Statements'!K$25:K$93,"-",0)</f>
        <v>3383456.58</v>
      </c>
      <c r="D3" s="91">
        <f>_xlfn.XLOOKUP(D$1,'Fin Statements'!$E$25:$E$93,'Fin Statements'!K$25:K$93,"-",0)</f>
        <v>3237090.5700000003</v>
      </c>
      <c r="E3" s="91">
        <f>-_xlfn.XLOOKUP(E$1,'Fin Statements'!$E$25:$E$93,'Fin Statements'!K$25:K$93,"-",0)</f>
        <v>76755</v>
      </c>
      <c r="F3" s="91">
        <f ca="1">_xlfn.XLOOKUP(F$1,'Fin Statements'!$E$25:$E$93,'Fin Statements'!K$25:K$93,"-",0)</f>
        <v>71949.877500000206</v>
      </c>
      <c r="G3" s="73">
        <f>_xlfn.XLOOKUP(G$1,'Fin Statements'!$E$25:$E$93,'Fin Statements'!K$25:K$93,"-",0)</f>
        <v>0.48894607902611192</v>
      </c>
      <c r="H3" s="73">
        <f ca="1">_xlfn.XLOOKUP(H$1,'Fin Statements'!$E$25:$E$93,'Fin Statements'!K$25:K$93,"-",0)</f>
        <v>1.0867663332025391E-2</v>
      </c>
      <c r="I3" s="72">
        <f>_xlfn.XLOOKUP(I$1,'Fin Statements'!$E$25:$E$93,'Fin Statements'!K$25:K$93,"-",0)</f>
        <v>2319345</v>
      </c>
      <c r="J3" s="72">
        <f>_xlfn.XLOOKUP(J$1,'Fin Statements'!$E$25:$E$93,'Fin Statements'!K$25:K$93,"-",0)</f>
        <v>339349.5</v>
      </c>
      <c r="K3" s="72">
        <f>_xlfn.XLOOKUP(K$1,'Fin Statements'!$E$25:$E$93,'Fin Statements'!K$25:K$93,"-",0)</f>
        <v>159519.77999999997</v>
      </c>
      <c r="L3" s="72">
        <f>_xlfn.XLOOKUP(L$1,'Fin Statements'!$E$25:$E$93,'Fin Statements'!K$25:K$93,"-",0)</f>
        <v>4847.8499999999985</v>
      </c>
      <c r="M3" s="72">
        <f>_xlfn.XLOOKUP(M$1,'Fin Statements'!$E$25:$E$93,'Fin Statements'!K$25:K$93,"-",0)</f>
        <v>13897.170000000002</v>
      </c>
      <c r="N3" s="72">
        <f>_xlfn.XLOOKUP(N$1,'Fin Statements'!$E$25:$E$93,'Fin Statements'!K$25:K$93,"-",0)</f>
        <v>16159.5</v>
      </c>
      <c r="O3" s="72">
        <f>_xlfn.XLOOKUP(O$1,'Fin Statements'!$E$25:$E$93,'Fin Statements'!K$25:K$93,"-",0)</f>
        <v>13897.170000000002</v>
      </c>
      <c r="P3" s="72">
        <f>_xlfn.XLOOKUP(P$1,'Fin Statements'!$E$25:$E$93,'Fin Statements'!K$25:K$93,"-",0)</f>
        <v>33611.760000000009</v>
      </c>
      <c r="Q3" s="72">
        <f>_xlfn.XLOOKUP(Q$1,'Fin Statements'!$E$25:$E$93,'Fin Statements'!K$25:K$93,"-",0)</f>
        <v>40398.75</v>
      </c>
      <c r="R3" s="72">
        <f>_xlfn.XLOOKUP(R$1,'Fin Statements'!$E$25:$E$93,'Fin Statements'!K$25:K$93,"-",0)</f>
        <v>390719.70000000013</v>
      </c>
      <c r="S3" s="74">
        <f>_xlfn.XLOOKUP(S$1,'Fin Statements'!$E$25:$E$93,'Fin Statements'!K$25:K$93,"-",0)</f>
        <v>51710.400000000023</v>
      </c>
      <c r="T3" s="74">
        <f ca="1">'Fin Statements'!K56</f>
        <v>7492735.8585214261</v>
      </c>
      <c r="U3" s="74">
        <f>'Fin Statements'!K71</f>
        <v>21000000</v>
      </c>
      <c r="V3" s="74">
        <f>'Fin Statements'!K66</f>
        <v>6428571.4285714291</v>
      </c>
      <c r="W3" s="74">
        <f ca="1">'Fin Statements'!K59</f>
        <v>7995235.8785214266</v>
      </c>
      <c r="X3" s="72">
        <f>'Fin Statements'!K65</f>
        <v>246443.45999999996</v>
      </c>
    </row>
    <row r="4" spans="1:24" x14ac:dyDescent="0.25">
      <c r="A4" s="85">
        <v>46266</v>
      </c>
      <c r="B4" s="69">
        <f>_xlfn.XLOOKUP(B$1,'Fin Statements'!$E$25:$E$93,'Fin Statements'!L$25:L$93,"-",0)</f>
        <v>6951574.5075000003</v>
      </c>
      <c r="C4" s="69">
        <f>-_xlfn.XLOOKUP(C$1,'Fin Statements'!$E$25:$E$93,'Fin Statements'!L$25:L$93,"-",0)</f>
        <v>3552629.409</v>
      </c>
      <c r="D4" s="90">
        <f>_xlfn.XLOOKUP(D$1,'Fin Statements'!$E$25:$E$93,'Fin Statements'!L$25:L$93,"-",0)</f>
        <v>3398945.0984999994</v>
      </c>
      <c r="E4" s="90">
        <f>-_xlfn.XLOOKUP(E$1,'Fin Statements'!$E$25:$E$93,'Fin Statements'!L$25:L$93,"-",0)</f>
        <v>80592.75</v>
      </c>
      <c r="F4" s="90">
        <f ca="1">_xlfn.XLOOKUP(F$1,'Fin Statements'!$E$25:$E$93,'Fin Statements'!L$25:L$93,"-",0)</f>
        <v>257962.46137499955</v>
      </c>
      <c r="G4" s="70">
        <f>_xlfn.XLOOKUP(G$1,'Fin Statements'!$E$25:$E$93,'Fin Statements'!L$25:L$93,"-",0)</f>
        <v>0.48894607902611181</v>
      </c>
      <c r="H4" s="70">
        <f ca="1">_xlfn.XLOOKUP(H$1,'Fin Statements'!$E$25:$E$93,'Fin Statements'!L$25:L$93,"-",0)</f>
        <v>3.7108494068025286E-2</v>
      </c>
      <c r="I4" s="69">
        <f>_xlfn.XLOOKUP(I$1,'Fin Statements'!$E$25:$E$93,'Fin Statements'!L$25:L$93,"-",0)</f>
        <v>2435312.25</v>
      </c>
      <c r="J4" s="69">
        <f>_xlfn.XLOOKUP(J$1,'Fin Statements'!$E$25:$E$93,'Fin Statements'!L$25:L$93,"-",0)</f>
        <v>356316.97500000009</v>
      </c>
      <c r="K4" s="69">
        <f>_xlfn.XLOOKUP(K$1,'Fin Statements'!$E$25:$E$93,'Fin Statements'!L$25:L$93,"-",0)</f>
        <v>167495.76899999997</v>
      </c>
      <c r="L4" s="69">
        <f>_xlfn.XLOOKUP(L$1,'Fin Statements'!$E$25:$E$93,'Fin Statements'!L$25:L$93,"-",0)</f>
        <v>5090.2425000000003</v>
      </c>
      <c r="M4" s="69">
        <f>_xlfn.XLOOKUP(M$1,'Fin Statements'!$E$25:$E$93,'Fin Statements'!L$25:L$93,"-",0)</f>
        <v>14592.028500000004</v>
      </c>
      <c r="N4" s="69">
        <f>_xlfn.XLOOKUP(N$1,'Fin Statements'!$E$25:$E$93,'Fin Statements'!L$25:L$93,"-",0)</f>
        <v>16967.475000000006</v>
      </c>
      <c r="O4" s="69">
        <f>_xlfn.XLOOKUP(O$1,'Fin Statements'!$E$25:$E$93,'Fin Statements'!L$25:L$93,"-",0)</f>
        <v>14592.028500000004</v>
      </c>
      <c r="P4" s="69">
        <f>_xlfn.XLOOKUP(P$1,'Fin Statements'!$E$25:$E$93,'Fin Statements'!L$25:L$93,"-",0)</f>
        <v>35292.348000000013</v>
      </c>
      <c r="Q4" s="69">
        <f>_xlfn.XLOOKUP(Q$1,'Fin Statements'!$E$25:$E$93,'Fin Statements'!L$25:L$93,"-",0)</f>
        <v>42418.6875</v>
      </c>
      <c r="R4" s="69">
        <f>_xlfn.XLOOKUP(R$1,'Fin Statements'!$E$25:$E$93,'Fin Statements'!L$25:L$93,"-",0)</f>
        <v>410255.68499999994</v>
      </c>
      <c r="S4" s="71">
        <f>_xlfn.XLOOKUP(S$1,'Fin Statements'!$E$25:$E$93,'Fin Statements'!L$25:L$93,"-",0)</f>
        <v>54295.92</v>
      </c>
      <c r="T4" s="71">
        <f ca="1">'Fin Statements'!L56</f>
        <v>8984227.1849546395</v>
      </c>
      <c r="U4" s="71">
        <f>'Fin Statements'!L71</f>
        <v>21000000</v>
      </c>
      <c r="V4" s="71">
        <f>'Fin Statements'!L66</f>
        <v>5142857.1428571437</v>
      </c>
      <c r="W4" s="71">
        <f ca="1">'Fin Statements'!L59</f>
        <v>9486727.2049546391</v>
      </c>
      <c r="X4" s="69">
        <f>'Fin Statements'!L65</f>
        <v>246443.45999999996</v>
      </c>
    </row>
    <row r="5" spans="1:24" x14ac:dyDescent="0.25">
      <c r="A5" s="86">
        <v>46631</v>
      </c>
      <c r="B5" s="72">
        <f>_xlfn.XLOOKUP(B$1,'Fin Statements'!$E$25:$E$93,'Fin Statements'!M$25:M$93,"-",0)</f>
        <v>7299153.2328749998</v>
      </c>
      <c r="C5" s="72">
        <f>-_xlfn.XLOOKUP(C$1,'Fin Statements'!$E$25:$E$93,'Fin Statements'!M$25:M$93,"-",0)</f>
        <v>3730260.8794499994</v>
      </c>
      <c r="D5" s="91">
        <f>_xlfn.XLOOKUP(D$1,'Fin Statements'!$E$25:$E$93,'Fin Statements'!M$25:M$93,"-",0)</f>
        <v>3568892.3534250003</v>
      </c>
      <c r="E5" s="91">
        <f>-_xlfn.XLOOKUP(E$1,'Fin Statements'!$E$25:$E$93,'Fin Statements'!M$25:M$93,"-",0)</f>
        <v>84622.387500000012</v>
      </c>
      <c r="F5" s="91">
        <f ca="1">_xlfn.XLOOKUP(F$1,'Fin Statements'!$E$25:$E$93,'Fin Statements'!M$25:M$93,"-",0)</f>
        <v>449900.67444375041</v>
      </c>
      <c r="G5" s="73">
        <f>_xlfn.XLOOKUP(G$1,'Fin Statements'!$E$25:$E$93,'Fin Statements'!M$25:M$93,"-",0)</f>
        <v>0.48894607902611198</v>
      </c>
      <c r="H5" s="73">
        <f ca="1">_xlfn.XLOOKUP(H$1,'Fin Statements'!$E$25:$E$93,'Fin Statements'!M$25:M$93,"-",0)</f>
        <v>6.1637379034244905E-2</v>
      </c>
      <c r="I5" s="72">
        <f>_xlfn.XLOOKUP(I$1,'Fin Statements'!$E$25:$E$93,'Fin Statements'!M$25:M$93,"-",0)</f>
        <v>2557077.8624999998</v>
      </c>
      <c r="J5" s="72">
        <f>_xlfn.XLOOKUP(J$1,'Fin Statements'!$E$25:$E$93,'Fin Statements'!M$25:M$93,"-",0)</f>
        <v>374132.82374999998</v>
      </c>
      <c r="K5" s="72">
        <f>_xlfn.XLOOKUP(K$1,'Fin Statements'!$E$25:$E$93,'Fin Statements'!M$25:M$93,"-",0)</f>
        <v>175870.55744999996</v>
      </c>
      <c r="L5" s="72">
        <f>_xlfn.XLOOKUP(L$1,'Fin Statements'!$E$25:$E$93,'Fin Statements'!M$25:M$93,"-",0)</f>
        <v>5344.7546249999978</v>
      </c>
      <c r="M5" s="72">
        <f>_xlfn.XLOOKUP(M$1,'Fin Statements'!$E$25:$E$93,'Fin Statements'!M$25:M$93,"-",0)</f>
        <v>15321.629924999999</v>
      </c>
      <c r="N5" s="72">
        <f>_xlfn.XLOOKUP(N$1,'Fin Statements'!$E$25:$E$93,'Fin Statements'!M$25:M$93,"-",0)</f>
        <v>17815.848750000005</v>
      </c>
      <c r="O5" s="72">
        <f>_xlfn.XLOOKUP(O$1,'Fin Statements'!$E$25:$E$93,'Fin Statements'!M$25:M$93,"-",0)</f>
        <v>15321.629924999999</v>
      </c>
      <c r="P5" s="72">
        <f>_xlfn.XLOOKUP(P$1,'Fin Statements'!$E$25:$E$93,'Fin Statements'!M$25:M$93,"-",0)</f>
        <v>37056.965400000001</v>
      </c>
      <c r="Q5" s="72">
        <f>_xlfn.XLOOKUP(Q$1,'Fin Statements'!$E$25:$E$93,'Fin Statements'!M$25:M$93,"-",0)</f>
        <v>44539.621875000012</v>
      </c>
      <c r="R5" s="72">
        <f>_xlfn.XLOOKUP(R$1,'Fin Statements'!$E$25:$E$93,'Fin Statements'!M$25:M$93,"-",0)</f>
        <v>430768.46924999997</v>
      </c>
      <c r="S5" s="74">
        <f>_xlfn.XLOOKUP(S$1,'Fin Statements'!$E$25:$E$93,'Fin Statements'!M$25:M$93,"-",0)</f>
        <v>57010.716000000022</v>
      </c>
      <c r="T5" s="74">
        <f ca="1">'Fin Statements'!M56</f>
        <v>10704068.482195228</v>
      </c>
      <c r="U5" s="74">
        <f>'Fin Statements'!M71</f>
        <v>21000000</v>
      </c>
      <c r="V5" s="74">
        <f>'Fin Statements'!M66</f>
        <v>3857142.8571428577</v>
      </c>
      <c r="W5" s="74">
        <f ca="1">'Fin Statements'!M59</f>
        <v>11258220.178195229</v>
      </c>
      <c r="X5" s="72">
        <f>'Fin Statements'!M65</f>
        <v>338345.658</v>
      </c>
    </row>
    <row r="6" spans="1:24" x14ac:dyDescent="0.25">
      <c r="A6" s="85">
        <v>46997</v>
      </c>
      <c r="B6" s="69">
        <f>_xlfn.XLOOKUP(B$1,'Fin Statements'!$E$25:$E$93,'Fin Statements'!N$25:N$93,"-",0)</f>
        <v>7664110.8945187507</v>
      </c>
      <c r="C6" s="69">
        <f>-_xlfn.XLOOKUP(C$1,'Fin Statements'!$E$25:$E$93,'Fin Statements'!N$25:N$93,"-",0)</f>
        <v>3916773.9234225</v>
      </c>
      <c r="D6" s="90">
        <f>_xlfn.XLOOKUP(D$1,'Fin Statements'!$E$25:$E$93,'Fin Statements'!N$25:N$93,"-",0)</f>
        <v>3747336.9710962507</v>
      </c>
      <c r="E6" s="90">
        <f>-_xlfn.XLOOKUP(E$1,'Fin Statements'!$E$25:$E$93,'Fin Statements'!N$25:N$93,"-",0)</f>
        <v>88853.506875000006</v>
      </c>
      <c r="F6" s="90">
        <f ca="1">_xlfn.XLOOKUP(F$1,'Fin Statements'!$E$25:$E$93,'Fin Statements'!N$25:N$93,"-",0)</f>
        <v>648060.79816593777</v>
      </c>
      <c r="G6" s="70">
        <f>_xlfn.XLOOKUP(G$1,'Fin Statements'!$E$25:$E$93,'Fin Statements'!N$25:N$93,"-",0)</f>
        <v>0.48894607902611198</v>
      </c>
      <c r="H6" s="70">
        <f ca="1">_xlfn.XLOOKUP(H$1,'Fin Statements'!$E$25:$E$93,'Fin Statements'!N$25:N$93,"-",0)</f>
        <v>8.4557857667406727E-2</v>
      </c>
      <c r="I6" s="69">
        <f>_xlfn.XLOOKUP(I$1,'Fin Statements'!$E$25:$E$93,'Fin Statements'!N$25:N$93,"-",0)</f>
        <v>2684931.7556250002</v>
      </c>
      <c r="J6" s="69">
        <f>_xlfn.XLOOKUP(J$1,'Fin Statements'!$E$25:$E$93,'Fin Statements'!N$25:N$93,"-",0)</f>
        <v>392839.4649374999</v>
      </c>
      <c r="K6" s="69">
        <f>_xlfn.XLOOKUP(K$1,'Fin Statements'!$E$25:$E$93,'Fin Statements'!N$25:N$93,"-",0)</f>
        <v>184664.08532250006</v>
      </c>
      <c r="L6" s="69">
        <f>_xlfn.XLOOKUP(L$1,'Fin Statements'!$E$25:$E$93,'Fin Statements'!N$25:N$93,"-",0)</f>
        <v>5611.9923562499989</v>
      </c>
      <c r="M6" s="69">
        <f>_xlfn.XLOOKUP(M$1,'Fin Statements'!$E$25:$E$93,'Fin Statements'!N$25:N$93,"-",0)</f>
        <v>16087.71142125</v>
      </c>
      <c r="N6" s="69">
        <f>_xlfn.XLOOKUP(N$1,'Fin Statements'!$E$25:$E$93,'Fin Statements'!N$25:N$93,"-",0)</f>
        <v>18706.641187499994</v>
      </c>
      <c r="O6" s="69">
        <f>_xlfn.XLOOKUP(O$1,'Fin Statements'!$E$25:$E$93,'Fin Statements'!N$25:N$93,"-",0)</f>
        <v>16087.71142125</v>
      </c>
      <c r="P6" s="69">
        <f>_xlfn.XLOOKUP(P$1,'Fin Statements'!$E$25:$E$93,'Fin Statements'!N$25:N$93,"-",0)</f>
        <v>38909.81367000001</v>
      </c>
      <c r="Q6" s="69">
        <f>_xlfn.XLOOKUP(Q$1,'Fin Statements'!$E$25:$E$93,'Fin Statements'!N$25:N$93,"-",0)</f>
        <v>46766.602968749998</v>
      </c>
      <c r="R6" s="69">
        <f>_xlfn.XLOOKUP(R$1,'Fin Statements'!$E$25:$E$93,'Fin Statements'!N$25:N$93,"-",0)</f>
        <v>452306.89271250012</v>
      </c>
      <c r="S6" s="71">
        <f>_xlfn.XLOOKUP(S$1,'Fin Statements'!$E$25:$E$93,'Fin Statements'!N$25:N$93,"-",0)</f>
        <v>59861.251800000027</v>
      </c>
      <c r="T6" s="71">
        <f ca="1">'Fin Statements'!N56</f>
        <v>12577856.178683562</v>
      </c>
      <c r="U6" s="71">
        <f>'Fin Statements'!N71</f>
        <v>21000000</v>
      </c>
      <c r="V6" s="71">
        <f>'Fin Statements'!N66</f>
        <v>2571428.5714285718</v>
      </c>
      <c r="W6" s="71">
        <f ca="1">'Fin Statements'!N59</f>
        <v>13132007.874683563</v>
      </c>
      <c r="X6" s="69">
        <f>'Fin Statements'!N65</f>
        <v>338345.658</v>
      </c>
    </row>
    <row r="7" spans="1:24" x14ac:dyDescent="0.25">
      <c r="A7" s="86">
        <v>47362</v>
      </c>
      <c r="B7" s="72">
        <f>_xlfn.XLOOKUP(B$1,'Fin Statements'!$E$25:$E$93,'Fin Statements'!O$25:O$93,"-",0)</f>
        <v>8047316.4392446876</v>
      </c>
      <c r="C7" s="72">
        <f>-_xlfn.XLOOKUP(C$1,'Fin Statements'!$E$25:$E$93,'Fin Statements'!O$25:O$93,"-",0)</f>
        <v>4112612.6195936264</v>
      </c>
      <c r="D7" s="91">
        <f>_xlfn.XLOOKUP(D$1,'Fin Statements'!$E$25:$E$93,'Fin Statements'!O$25:O$93,"-",0)</f>
        <v>3934703.8196510612</v>
      </c>
      <c r="E7" s="91">
        <f>-_xlfn.XLOOKUP(E$1,'Fin Statements'!$E$25:$E$93,'Fin Statements'!O$25:O$93,"-",0)</f>
        <v>93296.182218750007</v>
      </c>
      <c r="F7" s="91">
        <f ca="1">_xlfn.XLOOKUP(F$1,'Fin Statements'!$E$25:$E$93,'Fin Statements'!O$25:O$93,"-",0)</f>
        <v>852753.92807423312</v>
      </c>
      <c r="G7" s="73">
        <f>_xlfn.XLOOKUP(G$1,'Fin Statements'!$E$25:$E$93,'Fin Statements'!O$25:O$93,"-",0)</f>
        <v>0.48894607902611176</v>
      </c>
      <c r="H7" s="73">
        <f ca="1">_xlfn.XLOOKUP(H$1,'Fin Statements'!$E$25:$E$93,'Fin Statements'!O$25:O$93,"-",0)</f>
        <v>0.10596749046869489</v>
      </c>
      <c r="I7" s="72">
        <f>_xlfn.XLOOKUP(I$1,'Fin Statements'!$E$25:$E$93,'Fin Statements'!O$25:O$93,"-",0)</f>
        <v>2819178.3434062507</v>
      </c>
      <c r="J7" s="72">
        <f>_xlfn.XLOOKUP(J$1,'Fin Statements'!$E$25:$E$93,'Fin Statements'!O$25:O$93,"-",0)</f>
        <v>412481.43818437523</v>
      </c>
      <c r="K7" s="72">
        <f>_xlfn.XLOOKUP(K$1,'Fin Statements'!$E$25:$E$93,'Fin Statements'!O$25:O$93,"-",0)</f>
        <v>193897.28958862502</v>
      </c>
      <c r="L7" s="72">
        <f>_xlfn.XLOOKUP(L$1,'Fin Statements'!$E$25:$E$93,'Fin Statements'!O$25:O$93,"-",0)</f>
        <v>5892.5919740624977</v>
      </c>
      <c r="M7" s="72">
        <f>_xlfn.XLOOKUP(M$1,'Fin Statements'!$E$25:$E$93,'Fin Statements'!O$25:O$93,"-",0)</f>
        <v>16892.096992312494</v>
      </c>
      <c r="N7" s="72">
        <f>_xlfn.XLOOKUP(N$1,'Fin Statements'!$E$25:$E$93,'Fin Statements'!O$25:O$93,"-",0)</f>
        <v>19641.973246874993</v>
      </c>
      <c r="O7" s="72">
        <f>_xlfn.XLOOKUP(O$1,'Fin Statements'!$E$25:$E$93,'Fin Statements'!O$25:O$93,"-",0)</f>
        <v>16892.096992312494</v>
      </c>
      <c r="P7" s="72">
        <f>_xlfn.XLOOKUP(P$1,'Fin Statements'!$E$25:$E$93,'Fin Statements'!O$25:O$93,"-",0)</f>
        <v>40855.304353500011</v>
      </c>
      <c r="Q7" s="72">
        <f>_xlfn.XLOOKUP(Q$1,'Fin Statements'!$E$25:$E$93,'Fin Statements'!O$25:O$93,"-",0)</f>
        <v>49104.933117187487</v>
      </c>
      <c r="R7" s="72">
        <f>_xlfn.XLOOKUP(R$1,'Fin Statements'!$E$25:$E$93,'Fin Statements'!O$25:O$93,"-",0)</f>
        <v>474922.2373481252</v>
      </c>
      <c r="S7" s="74">
        <f>_xlfn.XLOOKUP(S$1,'Fin Statements'!$E$25:$E$93,'Fin Statements'!O$25:O$93,"-",0)</f>
        <v>62854.314390000014</v>
      </c>
      <c r="T7" s="74">
        <f ca="1">'Fin Statements'!O56</f>
        <v>14652243.142482026</v>
      </c>
      <c r="U7" s="74">
        <f>'Fin Statements'!O71</f>
        <v>21000000</v>
      </c>
      <c r="V7" s="74">
        <f>'Fin Statements'!O66</f>
        <v>1285714.2857142859</v>
      </c>
      <c r="W7" s="74">
        <f ca="1">'Fin Statements'!O59</f>
        <v>15206394.838482026</v>
      </c>
      <c r="X7" s="72">
        <f>'Fin Statements'!O65</f>
        <v>338345.658</v>
      </c>
    </row>
    <row r="8" spans="1:24" x14ac:dyDescent="0.25">
      <c r="A8" s="85">
        <v>47727</v>
      </c>
      <c r="B8" s="69">
        <f>_xlfn.XLOOKUP(B$1,'Fin Statements'!$E$25:$E$93,'Fin Statements'!P$25:P$93,"-",0)</f>
        <v>8449682.2612069249</v>
      </c>
      <c r="C8" s="69">
        <f>-_xlfn.XLOOKUP(C$1,'Fin Statements'!$E$25:$E$93,'Fin Statements'!P$25:P$93,"-",0)</f>
        <v>4318243.2505733073</v>
      </c>
      <c r="D8" s="90">
        <f>_xlfn.XLOOKUP(D$1,'Fin Statements'!$E$25:$E$93,'Fin Statements'!P$25:P$93,"-",0)</f>
        <v>4131439.0106336176</v>
      </c>
      <c r="E8" s="90">
        <f>-_xlfn.XLOOKUP(E$1,'Fin Statements'!$E$25:$E$93,'Fin Statements'!P$25:P$93,"-",0)</f>
        <v>97960.991329687517</v>
      </c>
      <c r="F8" s="90">
        <f ca="1">_xlfn.XLOOKUP(F$1,'Fin Statements'!$E$25:$E$93,'Fin Statements'!P$25:P$93,"-",0)</f>
        <v>1064306.7144779474</v>
      </c>
      <c r="G8" s="70">
        <f>_xlfn.XLOOKUP(G$1,'Fin Statements'!$E$25:$E$93,'Fin Statements'!P$25:P$93,"-",0)</f>
        <v>0.48894607902611198</v>
      </c>
      <c r="H8" s="70">
        <f ca="1">_xlfn.XLOOKUP(H$1,'Fin Statements'!$E$25:$E$93,'Fin Statements'!P$25:P$93,"-",0)</f>
        <v>0.12595819364288444</v>
      </c>
      <c r="I8" s="69">
        <f>_xlfn.XLOOKUP(I$1,'Fin Statements'!$E$25:$E$93,'Fin Statements'!P$25:P$93,"-",0)</f>
        <v>2960137.260576563</v>
      </c>
      <c r="J8" s="69">
        <f>_xlfn.XLOOKUP(J$1,'Fin Statements'!$E$25:$E$93,'Fin Statements'!P$25:P$93,"-",0)</f>
        <v>433105.51009359397</v>
      </c>
      <c r="K8" s="69">
        <f>_xlfn.XLOOKUP(K$1,'Fin Statements'!$E$25:$E$93,'Fin Statements'!P$25:P$93,"-",0)</f>
        <v>203592.1540680562</v>
      </c>
      <c r="L8" s="69">
        <f>_xlfn.XLOOKUP(L$1,'Fin Statements'!$E$25:$E$93,'Fin Statements'!P$25:P$93,"-",0)</f>
        <v>6187.2215727656239</v>
      </c>
      <c r="M8" s="69">
        <f>_xlfn.XLOOKUP(M$1,'Fin Statements'!$E$25:$E$93,'Fin Statements'!P$25:P$93,"-",0)</f>
        <v>17736.70184192813</v>
      </c>
      <c r="N8" s="69">
        <f>_xlfn.XLOOKUP(N$1,'Fin Statements'!$E$25:$E$93,'Fin Statements'!P$25:P$93,"-",0)</f>
        <v>20624.07190921875</v>
      </c>
      <c r="O8" s="69">
        <f>_xlfn.XLOOKUP(O$1,'Fin Statements'!$E$25:$E$93,'Fin Statements'!P$25:P$93,"-",0)</f>
        <v>17736.70184192813</v>
      </c>
      <c r="P8" s="69">
        <f>_xlfn.XLOOKUP(P$1,'Fin Statements'!$E$25:$E$93,'Fin Statements'!P$25:P$93,"-",0)</f>
        <v>42898.069571175023</v>
      </c>
      <c r="Q8" s="69">
        <f>_xlfn.XLOOKUP(Q$1,'Fin Statements'!$E$25:$E$93,'Fin Statements'!P$25:P$93,"-",0)</f>
        <v>51560.179773046904</v>
      </c>
      <c r="R8" s="69">
        <f>_xlfn.XLOOKUP(R$1,'Fin Statements'!$E$25:$E$93,'Fin Statements'!P$25:P$93,"-",0)</f>
        <v>498668.34921553149</v>
      </c>
      <c r="S8" s="71">
        <f>_xlfn.XLOOKUP(S$1,'Fin Statements'!$E$25:$E$93,'Fin Statements'!P$25:P$93,"-",0)</f>
        <v>65997.030109500018</v>
      </c>
      <c r="T8" s="71">
        <f ca="1">'Fin Statements'!P56</f>
        <v>16923161.535056129</v>
      </c>
      <c r="U8" s="71">
        <f>'Fin Statements'!P71</f>
        <v>21000000</v>
      </c>
      <c r="V8" s="71">
        <f>'Fin Statements'!P66</f>
        <v>0</v>
      </c>
      <c r="W8" s="71">
        <f ca="1">'Fin Statements'!P59</f>
        <v>17505020.815856133</v>
      </c>
      <c r="X8" s="69">
        <f>'Fin Statements'!P65</f>
        <v>355262.94089999999</v>
      </c>
    </row>
    <row r="9" spans="1:24" x14ac:dyDescent="0.25">
      <c r="A9" s="86">
        <v>48092</v>
      </c>
      <c r="B9" s="72">
        <f>_xlfn.XLOOKUP(B$1,'Fin Statements'!$E$25:$E$93,'Fin Statements'!Q$25:Q$93,"-",0)</f>
        <v>8872166.3742672671</v>
      </c>
      <c r="C9" s="72">
        <f>-_xlfn.XLOOKUP(C$1,'Fin Statements'!$E$25:$E$93,'Fin Statements'!Q$25:Q$93,"-",0)</f>
        <v>4534155.413101973</v>
      </c>
      <c r="D9" s="91">
        <f>_xlfn.XLOOKUP(D$1,'Fin Statements'!$E$25:$E$93,'Fin Statements'!Q$25:Q$93,"-",0)</f>
        <v>4338010.961165295</v>
      </c>
      <c r="E9" s="91">
        <f>-_xlfn.XLOOKUP(E$1,'Fin Statements'!$E$25:$E$93,'Fin Statements'!Q$25:Q$93,"-",0)</f>
        <v>102859.04089617188</v>
      </c>
      <c r="F9" s="91">
        <f ca="1">_xlfn.XLOOKUP(F$1,'Fin Statements'!$E$25:$E$93,'Fin Statements'!Q$25:Q$93,"-",0)</f>
        <v>1283062.1402018419</v>
      </c>
      <c r="G9" s="73">
        <f>_xlfn.XLOOKUP(G$1,'Fin Statements'!$E$25:$E$93,'Fin Statements'!Q$25:Q$93,"-",0)</f>
        <v>0.48894607902611181</v>
      </c>
      <c r="H9" s="73">
        <f ca="1">_xlfn.XLOOKUP(H$1,'Fin Statements'!$E$25:$E$93,'Fin Statements'!Q$25:Q$93,"-",0)</f>
        <v>0.14461655542475185</v>
      </c>
      <c r="I9" s="72">
        <f>_xlfn.XLOOKUP(I$1,'Fin Statements'!$E$25:$E$93,'Fin Statements'!Q$25:Q$93,"-",0)</f>
        <v>3108144.123605391</v>
      </c>
      <c r="J9" s="72">
        <f>_xlfn.XLOOKUP(J$1,'Fin Statements'!$E$25:$E$93,'Fin Statements'!Q$25:Q$93,"-",0)</f>
        <v>454760.78559827374</v>
      </c>
      <c r="K9" s="72">
        <f>_xlfn.XLOOKUP(K$1,'Fin Statements'!$E$25:$E$93,'Fin Statements'!Q$25:Q$93,"-",0)</f>
        <v>213771.76177145907</v>
      </c>
      <c r="L9" s="72">
        <f>_xlfn.XLOOKUP(L$1,'Fin Statements'!$E$25:$E$93,'Fin Statements'!Q$25:Q$93,"-",0)</f>
        <v>6496.5826514039081</v>
      </c>
      <c r="M9" s="72">
        <f>_xlfn.XLOOKUP(M$1,'Fin Statements'!$E$25:$E$93,'Fin Statements'!Q$25:Q$93,"-",0)</f>
        <v>18623.536934024531</v>
      </c>
      <c r="N9" s="72">
        <f>_xlfn.XLOOKUP(N$1,'Fin Statements'!$E$25:$E$93,'Fin Statements'!Q$25:Q$93,"-",0)</f>
        <v>21655.275504679688</v>
      </c>
      <c r="O9" s="72">
        <f>_xlfn.XLOOKUP(O$1,'Fin Statements'!$E$25:$E$93,'Fin Statements'!Q$25:Q$93,"-",0)</f>
        <v>18623.536934024531</v>
      </c>
      <c r="P9" s="72">
        <f>_xlfn.XLOOKUP(P$1,'Fin Statements'!$E$25:$E$93,'Fin Statements'!Q$25:Q$93,"-",0)</f>
        <v>45042.973049733759</v>
      </c>
      <c r="Q9" s="72">
        <f>_xlfn.XLOOKUP(Q$1,'Fin Statements'!$E$25:$E$93,'Fin Statements'!Q$25:Q$93,"-",0)</f>
        <v>54138.188761699246</v>
      </c>
      <c r="R9" s="72">
        <f>_xlfn.XLOOKUP(R$1,'Fin Statements'!$E$25:$E$93,'Fin Statements'!Q$25:Q$93,"-",0)</f>
        <v>523601.76667630789</v>
      </c>
      <c r="S9" s="74">
        <f>_xlfn.XLOOKUP(S$1,'Fin Statements'!$E$25:$E$93,'Fin Statements'!Q$25:Q$93,"-",0)</f>
        <v>69296.881614974991</v>
      </c>
      <c r="T9" s="74">
        <f ca="1">'Fin Statements'!Q56</f>
        <v>20704964.832453933</v>
      </c>
      <c r="U9" s="74">
        <f>'Fin Statements'!Q71</f>
        <v>21000000</v>
      </c>
      <c r="V9" s="74">
        <f>'Fin Statements'!Q66</f>
        <v>0</v>
      </c>
      <c r="W9" s="74">
        <f ca="1">'Fin Statements'!Q59</f>
        <v>21286824.113253936</v>
      </c>
      <c r="X9" s="72">
        <f>'Fin Statements'!Q65</f>
        <v>355262.94089999999</v>
      </c>
    </row>
    <row r="10" spans="1:24" x14ac:dyDescent="0.25">
      <c r="A10" s="85">
        <v>48458</v>
      </c>
      <c r="B10" s="69">
        <f>_xlfn.XLOOKUP(B$1,'Fin Statements'!$E$25:$E$93,'Fin Statements'!R$25:R$93,"-",0)</f>
        <v>9315774.6929806359</v>
      </c>
      <c r="C10" s="69">
        <f>-_xlfn.XLOOKUP(C$1,'Fin Statements'!$E$25:$E$93,'Fin Statements'!R$25:R$93,"-",0)</f>
        <v>4760863.1837570714</v>
      </c>
      <c r="D10" s="90">
        <f>_xlfn.XLOOKUP(D$1,'Fin Statements'!$E$25:$E$93,'Fin Statements'!R$25:R$93,"-",0)</f>
        <v>4554911.5092235636</v>
      </c>
      <c r="E10" s="90">
        <f>-_xlfn.XLOOKUP(E$1,'Fin Statements'!$E$25:$E$93,'Fin Statements'!R$25:R$93,"-",0)</f>
        <v>108001.99294098049</v>
      </c>
      <c r="F10" s="90">
        <f ca="1">_xlfn.XLOOKUP(F$1,'Fin Statements'!$E$25:$E$93,'Fin Statements'!R$25:R$93,"-",0)</f>
        <v>1441880.3372119376</v>
      </c>
      <c r="G10" s="70">
        <f>_xlfn.XLOOKUP(G$1,'Fin Statements'!$E$25:$E$93,'Fin Statements'!R$25:R$93,"-",0)</f>
        <v>0.48894607902611192</v>
      </c>
      <c r="H10" s="70">
        <f ca="1">_xlfn.XLOOKUP(H$1,'Fin Statements'!$E$25:$E$93,'Fin Statements'!R$25:R$93,"-",0)</f>
        <v>0.15477836086980326</v>
      </c>
      <c r="I10" s="69">
        <f>_xlfn.XLOOKUP(I$1,'Fin Statements'!$E$25:$E$93,'Fin Statements'!R$25:R$93,"-",0)</f>
        <v>3263551.3297856608</v>
      </c>
      <c r="J10" s="69">
        <f>_xlfn.XLOOKUP(J$1,'Fin Statements'!$E$25:$E$93,'Fin Statements'!R$25:R$93,"-",0)</f>
        <v>477498.82487818738</v>
      </c>
      <c r="K10" s="69">
        <f>_xlfn.XLOOKUP(K$1,'Fin Statements'!$E$25:$E$93,'Fin Statements'!R$25:R$93,"-",0)</f>
        <v>224460.34986003209</v>
      </c>
      <c r="L10" s="69">
        <f>_xlfn.XLOOKUP(L$1,'Fin Statements'!$E$25:$E$93,'Fin Statements'!R$25:R$93,"-",0)</f>
        <v>6821.4117839741029</v>
      </c>
      <c r="M10" s="69">
        <f>_xlfn.XLOOKUP(M$1,'Fin Statements'!$E$25:$E$93,'Fin Statements'!R$25:R$93,"-",0)</f>
        <v>19554.713780725753</v>
      </c>
      <c r="N10" s="69">
        <f>_xlfn.XLOOKUP(N$1,'Fin Statements'!$E$25:$E$93,'Fin Statements'!R$25:R$93,"-",0)</f>
        <v>22738.03927991369</v>
      </c>
      <c r="O10" s="69">
        <f>_xlfn.XLOOKUP(O$1,'Fin Statements'!$E$25:$E$93,'Fin Statements'!R$25:R$93,"-",0)</f>
        <v>19554.713780725753</v>
      </c>
      <c r="P10" s="69">
        <f>_xlfn.XLOOKUP(P$1,'Fin Statements'!$E$25:$E$93,'Fin Statements'!R$25:R$93,"-",0)</f>
        <v>47295.121702220466</v>
      </c>
      <c r="Q10" s="69">
        <f>_xlfn.XLOOKUP(Q$1,'Fin Statements'!$E$25:$E$93,'Fin Statements'!R$25:R$93,"-",0)</f>
        <v>56845.098199784217</v>
      </c>
      <c r="R10" s="69">
        <f>_xlfn.XLOOKUP(R$1,'Fin Statements'!$E$25:$E$93,'Fin Statements'!R$25:R$93,"-",0)</f>
        <v>549781.85501012322</v>
      </c>
      <c r="S10" s="71">
        <f>_xlfn.XLOOKUP(S$1,'Fin Statements'!$E$25:$E$93,'Fin Statements'!R$25:R$93,"-",0)</f>
        <v>72761.725695723755</v>
      </c>
      <c r="T10" s="71">
        <f ca="1">'Fin Statements'!R56</f>
        <v>24642409.962921631</v>
      </c>
      <c r="U10" s="71">
        <f>'Fin Statements'!R71</f>
        <v>21000000</v>
      </c>
      <c r="V10" s="71">
        <f>'Fin Statements'!R66</f>
        <v>0</v>
      </c>
      <c r="W10" s="71">
        <f ca="1">'Fin Statements'!R59</f>
        <v>25224269.243721634</v>
      </c>
      <c r="X10" s="69">
        <f>'Fin Statements'!R65</f>
        <v>355262.94089999999</v>
      </c>
    </row>
    <row r="13" spans="1:24" x14ac:dyDescent="0.25">
      <c r="K13" s="37"/>
      <c r="L13" s="37"/>
      <c r="M13" s="37"/>
      <c r="N13" s="37"/>
      <c r="O13" s="37"/>
      <c r="P13" s="37"/>
      <c r="Q13" s="37"/>
      <c r="R13" s="37"/>
    </row>
    <row r="14" spans="1:24" x14ac:dyDescent="0.25">
      <c r="A14" s="67"/>
      <c r="B14" s="68"/>
      <c r="C14" s="67"/>
      <c r="D14" s="67"/>
      <c r="E14" s="67"/>
      <c r="F14" s="67"/>
      <c r="G14" s="67"/>
      <c r="H14" s="67"/>
      <c r="I14" s="67"/>
    </row>
    <row r="15" spans="1:24" x14ac:dyDescent="0.25">
      <c r="A15" s="67"/>
      <c r="B15" s="68"/>
    </row>
    <row r="25" spans="4:9" x14ac:dyDescent="0.25">
      <c r="E25" s="44"/>
      <c r="F25" s="44"/>
      <c r="G25" s="44"/>
      <c r="H25" s="44"/>
      <c r="I25" s="44"/>
    </row>
    <row r="26" spans="4:9" x14ac:dyDescent="0.25">
      <c r="E26" s="9"/>
      <c r="F26" s="9"/>
      <c r="G26" s="9"/>
      <c r="H26" s="9"/>
      <c r="I26" s="9"/>
    </row>
    <row r="27" spans="4:9" x14ac:dyDescent="0.25">
      <c r="D27" s="9"/>
      <c r="E27" s="9"/>
      <c r="F27" s="9"/>
      <c r="G27" s="9"/>
      <c r="H27" s="9"/>
      <c r="I27" s="9"/>
    </row>
    <row r="28" spans="4:9" x14ac:dyDescent="0.25">
      <c r="D28" s="9"/>
      <c r="E28" s="9"/>
      <c r="F28" s="9"/>
      <c r="G28" s="9"/>
      <c r="H28" s="9"/>
      <c r="I28" s="9"/>
    </row>
    <row r="29" spans="4:9" x14ac:dyDescent="0.25">
      <c r="D29" s="9"/>
      <c r="E29" s="9"/>
      <c r="F29" s="9"/>
      <c r="G29" s="9"/>
      <c r="H29" s="9"/>
      <c r="I29" s="9"/>
    </row>
    <row r="30" spans="4:9" x14ac:dyDescent="0.25">
      <c r="D30" s="9"/>
      <c r="E30" s="9"/>
      <c r="F30" s="9"/>
      <c r="G30" s="9"/>
      <c r="H30" s="9"/>
      <c r="I30" s="9"/>
    </row>
    <row r="31" spans="4:9" x14ac:dyDescent="0.25">
      <c r="D31" s="45"/>
      <c r="E31" s="45"/>
      <c r="F31" s="45"/>
      <c r="G31" s="45"/>
      <c r="H31" s="45"/>
      <c r="I31" s="45"/>
    </row>
    <row r="32" spans="4:9" x14ac:dyDescent="0.25">
      <c r="D32" s="45"/>
      <c r="E32" s="45"/>
      <c r="F32" s="45"/>
      <c r="G32" s="45"/>
      <c r="H32" s="45"/>
      <c r="I32" s="45"/>
    </row>
    <row r="33" spans="2:9" x14ac:dyDescent="0.25">
      <c r="D33" s="9"/>
      <c r="E33" s="9"/>
      <c r="F33" s="9"/>
      <c r="G33" s="9"/>
      <c r="H33" s="9"/>
      <c r="I33" s="9"/>
    </row>
    <row r="34" spans="2:9" x14ac:dyDescent="0.25">
      <c r="B34" s="9"/>
      <c r="C34" s="9"/>
      <c r="D34" s="9"/>
      <c r="E34" s="9"/>
      <c r="F34" s="9"/>
      <c r="G34" s="9"/>
      <c r="H34" s="9"/>
      <c r="I34" s="9"/>
    </row>
    <row r="35" spans="2:9" x14ac:dyDescent="0.25">
      <c r="B35" s="9"/>
      <c r="C35" s="9"/>
      <c r="D35" s="9"/>
      <c r="E35" s="9"/>
      <c r="F35" s="9"/>
      <c r="G35" s="9"/>
      <c r="H35" s="9"/>
      <c r="I35" s="9"/>
    </row>
    <row r="36" spans="2:9" x14ac:dyDescent="0.25">
      <c r="B36" s="9"/>
      <c r="C36" s="9"/>
      <c r="D36" s="9"/>
      <c r="E36" s="9"/>
      <c r="F36" s="9"/>
      <c r="G36" s="9"/>
      <c r="H36" s="9"/>
      <c r="I36" s="9"/>
    </row>
    <row r="37" spans="2:9" x14ac:dyDescent="0.25">
      <c r="B37" s="9"/>
      <c r="C37" s="9"/>
      <c r="D37" s="9"/>
      <c r="E37" s="9"/>
      <c r="F37" s="9"/>
      <c r="G37" s="9"/>
      <c r="H37" s="9"/>
      <c r="I37" s="9"/>
    </row>
    <row r="38" spans="2:9" x14ac:dyDescent="0.25">
      <c r="B38" s="9"/>
      <c r="C38" s="9"/>
      <c r="D38" s="9"/>
      <c r="E38" s="9"/>
      <c r="F38" s="9"/>
      <c r="G38" s="9"/>
      <c r="H38" s="9"/>
      <c r="I38" s="9"/>
    </row>
    <row r="39" spans="2:9" x14ac:dyDescent="0.25">
      <c r="B39" s="9"/>
      <c r="C39" s="9"/>
      <c r="D39" s="9"/>
      <c r="E39" s="9"/>
      <c r="F39" s="9"/>
      <c r="G39" s="9"/>
      <c r="H39" s="9"/>
      <c r="I39" s="9"/>
    </row>
    <row r="40" spans="2:9" x14ac:dyDescent="0.25">
      <c r="B40" s="9"/>
      <c r="C40" s="9"/>
      <c r="D40" s="9"/>
      <c r="E40" s="9"/>
      <c r="F40" s="9"/>
      <c r="G40" s="9"/>
      <c r="H40" s="9"/>
      <c r="I40" s="9"/>
    </row>
    <row r="41" spans="2:9" x14ac:dyDescent="0.25">
      <c r="B41" s="9"/>
      <c r="C41" s="9"/>
      <c r="D41" s="9"/>
      <c r="E41" s="9"/>
      <c r="F41" s="9"/>
      <c r="G41" s="9"/>
      <c r="H41" s="9"/>
      <c r="I41" s="9"/>
    </row>
    <row r="42" spans="2:9" x14ac:dyDescent="0.25">
      <c r="B42" s="9"/>
      <c r="C42" s="9"/>
      <c r="D42" s="9"/>
      <c r="E42" s="9"/>
      <c r="F42" s="9"/>
      <c r="G42" s="9"/>
      <c r="H42" s="9"/>
      <c r="I42" s="9"/>
    </row>
    <row r="43" spans="2:9" x14ac:dyDescent="0.25">
      <c r="B43" s="9"/>
      <c r="C43" s="9"/>
      <c r="D43" s="9"/>
      <c r="E43" s="9"/>
      <c r="F43" s="9"/>
      <c r="G43" s="9"/>
      <c r="H43" s="9"/>
      <c r="I43" s="9"/>
    </row>
    <row r="44" spans="2:9" x14ac:dyDescent="0.25">
      <c r="B44" s="9"/>
      <c r="C44" s="9"/>
      <c r="D44" s="9"/>
      <c r="E44" s="9"/>
      <c r="F44" s="9"/>
      <c r="G44" s="9"/>
      <c r="H44" s="9"/>
      <c r="I44" s="9"/>
    </row>
    <row r="45" spans="2:9" x14ac:dyDescent="0.25">
      <c r="B45" s="9"/>
      <c r="C45" s="9"/>
      <c r="D45" s="9"/>
      <c r="E45" s="9"/>
      <c r="F45" s="9"/>
      <c r="G45" s="9"/>
      <c r="H45" s="9"/>
      <c r="I45" s="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Revenue</vt:lpstr>
      <vt:lpstr>Salaries</vt:lpstr>
      <vt:lpstr>Direct Costs</vt:lpstr>
      <vt:lpstr>Opex</vt:lpstr>
      <vt:lpstr>Capex</vt:lpstr>
      <vt:lpstr>Fin Statements</vt:lpstr>
      <vt:lpstr>Workings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Qualified Care</dc:creator>
  <cp:lastModifiedBy>Qualified Care</cp:lastModifiedBy>
  <dcterms:created xsi:type="dcterms:W3CDTF">2024-01-16T15:41:03Z</dcterms:created>
  <dcterms:modified xsi:type="dcterms:W3CDTF">2024-01-31T17:48:30Z</dcterms:modified>
</cp:coreProperties>
</file>